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ml.chartshap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6"/>
  <workbookPr filterPrivacy="1"/>
  <bookViews>
    <workbookView xWindow="-105" yWindow="-105" windowWidth="20730" windowHeight="11760" activeTab="2"/>
  </bookViews>
  <sheets>
    <sheet name="Январь" sheetId="1" r:id="rId1"/>
    <sheet name="Февраль" sheetId="2" r:id="rId2"/>
    <sheet name="Март" sheetId="3" r:id="rId3"/>
    <sheet name="Зп фин. директора" sheetId="5" r:id="rId4"/>
  </sheets>
  <definedNames>
    <definedName name="A1zxx">Январь!$A$1</definedName>
  </definedNames>
  <calcPr calcId="1257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2" i="5"/>
  <c r="J2" i="1" l="1"/>
  <c r="K3" l="1"/>
  <c r="K4"/>
  <c r="K5"/>
  <c r="K6"/>
  <c r="K7"/>
  <c r="K8"/>
  <c r="K9"/>
  <c r="K10"/>
  <c r="K11"/>
  <c r="K12"/>
  <c r="K13"/>
  <c r="K14"/>
  <c r="K15"/>
  <c r="K16"/>
  <c r="K17"/>
  <c r="K18"/>
  <c r="K19"/>
  <c r="K20"/>
  <c r="K21"/>
  <c r="K2"/>
  <c r="K22" l="1"/>
  <c r="K23"/>
  <c r="E2" i="2"/>
  <c r="E2" i="3" s="1"/>
  <c r="G21"/>
  <c r="G18"/>
  <c r="G17"/>
  <c r="G6"/>
  <c r="G5"/>
  <c r="G4"/>
  <c r="G3"/>
  <c r="E3" i="2"/>
  <c r="E3" i="3" s="1"/>
  <c r="F3" s="1"/>
  <c r="E4" i="2"/>
  <c r="E4" i="3" s="1"/>
  <c r="E5" i="2"/>
  <c r="E5" i="3" s="1"/>
  <c r="F5" s="1"/>
  <c r="H5" s="1"/>
  <c r="E6" i="2"/>
  <c r="E6" i="3" s="1"/>
  <c r="F6" s="1"/>
  <c r="E7" i="2"/>
  <c r="E7" i="3" s="1"/>
  <c r="G7" s="1"/>
  <c r="E8" i="2"/>
  <c r="G8" s="1"/>
  <c r="E9"/>
  <c r="E9" i="3" s="1"/>
  <c r="E10" i="2"/>
  <c r="E10" i="3" s="1"/>
  <c r="E11" i="2"/>
  <c r="G11" s="1"/>
  <c r="G2" s="1"/>
  <c r="E12"/>
  <c r="G12" s="1"/>
  <c r="E13"/>
  <c r="E13" i="3" s="1"/>
  <c r="E14" i="2"/>
  <c r="E14" i="3" s="1"/>
  <c r="E15" i="2"/>
  <c r="E15" i="3" s="1"/>
  <c r="G15" s="1"/>
  <c r="E16" i="2"/>
  <c r="F16" s="1"/>
  <c r="E17"/>
  <c r="E17" i="3" s="1"/>
  <c r="E18" i="2"/>
  <c r="E18" i="3" s="1"/>
  <c r="E19" i="2"/>
  <c r="G19" s="1"/>
  <c r="E20"/>
  <c r="F20" s="1"/>
  <c r="E21"/>
  <c r="E21" i="3" s="1"/>
  <c r="F21" s="1"/>
  <c r="H21" s="1"/>
  <c r="G21" i="2"/>
  <c r="G20"/>
  <c r="F19"/>
  <c r="G18"/>
  <c r="F18"/>
  <c r="H18" s="1"/>
  <c r="G17"/>
  <c r="F17"/>
  <c r="G15"/>
  <c r="F15"/>
  <c r="H15" s="1"/>
  <c r="G14"/>
  <c r="F14"/>
  <c r="G13"/>
  <c r="F13"/>
  <c r="F11"/>
  <c r="G10"/>
  <c r="F10"/>
  <c r="H10" s="1"/>
  <c r="I10" s="1"/>
  <c r="J10" s="1"/>
  <c r="G9"/>
  <c r="F9"/>
  <c r="G7"/>
  <c r="F7"/>
  <c r="G6"/>
  <c r="F6"/>
  <c r="H6" s="1"/>
  <c r="I6" s="1"/>
  <c r="J6" s="1"/>
  <c r="G5"/>
  <c r="F5"/>
  <c r="G4"/>
  <c r="F4"/>
  <c r="H4" s="1"/>
  <c r="G3"/>
  <c r="F3"/>
  <c r="J22" i="1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I23"/>
  <c r="I22"/>
  <c r="H23"/>
  <c r="H22"/>
  <c r="I3"/>
  <c r="I2"/>
  <c r="H3"/>
  <c r="H2"/>
  <c r="G3"/>
  <c r="G4"/>
  <c r="G22" s="1"/>
  <c r="G23" s="1"/>
  <c r="G5"/>
  <c r="H5" s="1"/>
  <c r="I5" s="1"/>
  <c r="I21"/>
  <c r="I20"/>
  <c r="I19"/>
  <c r="I18"/>
  <c r="I17"/>
  <c r="I16"/>
  <c r="I15"/>
  <c r="I14"/>
  <c r="I13"/>
  <c r="I12"/>
  <c r="I11"/>
  <c r="I10"/>
  <c r="I9"/>
  <c r="I8"/>
  <c r="I7"/>
  <c r="I6"/>
  <c r="H6"/>
  <c r="H7"/>
  <c r="H8"/>
  <c r="H9"/>
  <c r="H10"/>
  <c r="H11"/>
  <c r="H12"/>
  <c r="H13"/>
  <c r="H14"/>
  <c r="H15"/>
  <c r="H16"/>
  <c r="H17"/>
  <c r="H18"/>
  <c r="H19"/>
  <c r="H20"/>
  <c r="H21"/>
  <c r="H4"/>
  <c r="I4" s="1"/>
  <c r="G21"/>
  <c r="G20"/>
  <c r="G19"/>
  <c r="G18"/>
  <c r="G17"/>
  <c r="G16"/>
  <c r="G15"/>
  <c r="G14"/>
  <c r="G13"/>
  <c r="G12"/>
  <c r="G11"/>
  <c r="G10"/>
  <c r="G9"/>
  <c r="G8"/>
  <c r="G7"/>
  <c r="G6"/>
  <c r="G2"/>
  <c r="G13" i="3" l="1"/>
  <c r="F13"/>
  <c r="F14"/>
  <c r="G14"/>
  <c r="F21" i="2"/>
  <c r="H21" s="1"/>
  <c r="E20" i="3"/>
  <c r="F20" s="1"/>
  <c r="E16"/>
  <c r="E12"/>
  <c r="G12" s="1"/>
  <c r="E8"/>
  <c r="G8" s="1"/>
  <c r="H20" i="2"/>
  <c r="H16"/>
  <c r="H3"/>
  <c r="H7"/>
  <c r="F12"/>
  <c r="H17"/>
  <c r="H14"/>
  <c r="G16"/>
  <c r="E19" i="3"/>
  <c r="F19" s="1"/>
  <c r="E11"/>
  <c r="F11" s="1"/>
  <c r="H13"/>
  <c r="I13" s="1"/>
  <c r="J13" s="1"/>
  <c r="H6"/>
  <c r="I6" s="1"/>
  <c r="J6" s="1"/>
  <c r="F7"/>
  <c r="H7" s="1"/>
  <c r="F15"/>
  <c r="H15" s="1"/>
  <c r="I15" s="1"/>
  <c r="J15" s="1"/>
  <c r="H14"/>
  <c r="I21"/>
  <c r="J21" s="1"/>
  <c r="I7"/>
  <c r="J7" s="1"/>
  <c r="I14"/>
  <c r="J14" s="1"/>
  <c r="I5"/>
  <c r="J5" s="1"/>
  <c r="F4"/>
  <c r="H4" s="1"/>
  <c r="G20"/>
  <c r="H20" s="1"/>
  <c r="F2"/>
  <c r="F10"/>
  <c r="G11"/>
  <c r="G2" s="1"/>
  <c r="F18"/>
  <c r="H18" s="1"/>
  <c r="G19"/>
  <c r="H19" s="1"/>
  <c r="H3"/>
  <c r="F9"/>
  <c r="G10"/>
  <c r="F17"/>
  <c r="H17" s="1"/>
  <c r="E23"/>
  <c r="F12"/>
  <c r="H12" s="1"/>
  <c r="F8"/>
  <c r="H8" s="1"/>
  <c r="G9"/>
  <c r="F16"/>
  <c r="G16"/>
  <c r="I14" i="2"/>
  <c r="J14" s="1"/>
  <c r="I18"/>
  <c r="J18" s="1"/>
  <c r="H12"/>
  <c r="I12" s="1"/>
  <c r="J12" s="1"/>
  <c r="H13"/>
  <c r="I13" s="1"/>
  <c r="J13" s="1"/>
  <c r="H19"/>
  <c r="F8"/>
  <c r="H8" s="1"/>
  <c r="I8" s="1"/>
  <c r="J8" s="1"/>
  <c r="H11"/>
  <c r="I11" s="1"/>
  <c r="J11" s="1"/>
  <c r="G22"/>
  <c r="G23" s="1"/>
  <c r="H5"/>
  <c r="H9"/>
  <c r="I9" s="1"/>
  <c r="J9" s="1"/>
  <c r="I20"/>
  <c r="J20" s="1"/>
  <c r="I15"/>
  <c r="J15" s="1"/>
  <c r="I5"/>
  <c r="J5" s="1"/>
  <c r="I16"/>
  <c r="J16" s="1"/>
  <c r="I3"/>
  <c r="I4"/>
  <c r="J4" s="1"/>
  <c r="K4" s="1"/>
  <c r="I7"/>
  <c r="J7" s="1"/>
  <c r="I19"/>
  <c r="I17"/>
  <c r="J17" s="1"/>
  <c r="I21"/>
  <c r="J21" s="1"/>
  <c r="J23" i="1"/>
  <c r="F22"/>
  <c r="E23"/>
  <c r="E22"/>
  <c r="F18"/>
  <c r="F19"/>
  <c r="F20"/>
  <c r="F21"/>
  <c r="F17"/>
  <c r="F16"/>
  <c r="F13"/>
  <c r="F14"/>
  <c r="F15"/>
  <c r="F12"/>
  <c r="F9"/>
  <c r="F10"/>
  <c r="F11"/>
  <c r="F8"/>
  <c r="F7"/>
  <c r="F4"/>
  <c r="F5"/>
  <c r="F6"/>
  <c r="F3"/>
  <c r="F2"/>
  <c r="F23" s="1"/>
  <c r="C2" i="5" l="1"/>
  <c r="E22" i="3"/>
  <c r="J19" i="2"/>
  <c r="H10" i="3"/>
  <c r="G22"/>
  <c r="G23" s="1"/>
  <c r="H2"/>
  <c r="H16"/>
  <c r="H9"/>
  <c r="H11"/>
  <c r="J12"/>
  <c r="I12"/>
  <c r="I20"/>
  <c r="J20" s="1"/>
  <c r="I4"/>
  <c r="J4" s="1"/>
  <c r="I10"/>
  <c r="J10" s="1"/>
  <c r="I11"/>
  <c r="J11" s="1"/>
  <c r="I17"/>
  <c r="J17" s="1"/>
  <c r="I16"/>
  <c r="J16" s="1"/>
  <c r="I19"/>
  <c r="J19" s="1"/>
  <c r="J18"/>
  <c r="I18"/>
  <c r="I8"/>
  <c r="J8" s="1"/>
  <c r="I3"/>
  <c r="J3" s="1"/>
  <c r="F22"/>
  <c r="F23"/>
  <c r="J3" i="2"/>
  <c r="K3" s="1"/>
  <c r="J9" i="3" l="1"/>
  <c r="I9"/>
  <c r="D2" i="5"/>
  <c r="H22" i="3"/>
  <c r="H23" s="1"/>
  <c r="I2"/>
  <c r="J2" s="1"/>
  <c r="I22"/>
  <c r="I23" s="1"/>
  <c r="K9" l="1"/>
  <c r="K2"/>
  <c r="J22"/>
  <c r="H2" i="2"/>
  <c r="I2" s="1"/>
  <c r="I22" s="1"/>
  <c r="I23" s="1"/>
  <c r="F2"/>
  <c r="F22" s="1"/>
  <c r="E22"/>
  <c r="E23"/>
  <c r="J23" i="3" l="1"/>
  <c r="K15"/>
  <c r="K7"/>
  <c r="K14"/>
  <c r="K21"/>
  <c r="K6"/>
  <c r="K13"/>
  <c r="K5"/>
  <c r="K22" s="1"/>
  <c r="K23" s="1"/>
  <c r="K20"/>
  <c r="K10"/>
  <c r="K11"/>
  <c r="K18"/>
  <c r="K16"/>
  <c r="K8"/>
  <c r="K17"/>
  <c r="K19"/>
  <c r="K12"/>
  <c r="K4"/>
  <c r="K3"/>
  <c r="F23" i="2"/>
  <c r="H22"/>
  <c r="H23" s="1"/>
  <c r="J2"/>
  <c r="K2" l="1"/>
  <c r="J22"/>
  <c r="J23" l="1"/>
  <c r="K6"/>
  <c r="K22" s="1"/>
  <c r="K23" s="1"/>
  <c r="K10"/>
  <c r="K9"/>
  <c r="K7"/>
  <c r="K11"/>
  <c r="K14"/>
  <c r="K5"/>
  <c r="K18"/>
  <c r="K12"/>
  <c r="K20"/>
  <c r="K21"/>
  <c r="K15"/>
  <c r="K13"/>
  <c r="K8"/>
  <c r="K17"/>
  <c r="K16"/>
  <c r="K19"/>
</calcChain>
</file>

<file path=xl/sharedStrings.xml><?xml version="1.0" encoding="utf-8"?>
<sst xmlns="http://schemas.openxmlformats.org/spreadsheetml/2006/main" count="164" uniqueCount="56">
  <si>
    <t>Стаж</t>
  </si>
  <si>
    <t>Оклад</t>
  </si>
  <si>
    <t>Надбавка за стаж</t>
  </si>
  <si>
    <t>Итого</t>
  </si>
  <si>
    <t>Налоги</t>
  </si>
  <si>
    <t>Получить</t>
  </si>
  <si>
    <t>Доля</t>
  </si>
  <si>
    <t>Среднее</t>
  </si>
  <si>
    <t>Номер</t>
  </si>
  <si>
    <t>Карпин</t>
  </si>
  <si>
    <t>Карпович</t>
  </si>
  <si>
    <t>Тихон</t>
  </si>
  <si>
    <t>Вермин</t>
  </si>
  <si>
    <t>Синицын</t>
  </si>
  <si>
    <t>Сизан</t>
  </si>
  <si>
    <t>Адамович</t>
  </si>
  <si>
    <t>Торун</t>
  </si>
  <si>
    <t>Старухина</t>
  </si>
  <si>
    <t>Морковец</t>
  </si>
  <si>
    <t>Родин</t>
  </si>
  <si>
    <t>Хомич</t>
  </si>
  <si>
    <t>Дашкевич</t>
  </si>
  <si>
    <t>Кибинь</t>
  </si>
  <si>
    <t>Бубен</t>
  </si>
  <si>
    <t>Шабуневич</t>
  </si>
  <si>
    <t>Майзет</t>
  </si>
  <si>
    <t>Беганский</t>
  </si>
  <si>
    <t>Крюк</t>
  </si>
  <si>
    <t>Молош</t>
  </si>
  <si>
    <t>Бухгалтер</t>
  </si>
  <si>
    <t>Главный бухгалтер</t>
  </si>
  <si>
    <t>Маркетолог</t>
  </si>
  <si>
    <t>PR-менеджер</t>
  </si>
  <si>
    <t>Менеджер</t>
  </si>
  <si>
    <t>Старший менеджер</t>
  </si>
  <si>
    <t>Бизнес-аналитик</t>
  </si>
  <si>
    <t>HR</t>
  </si>
  <si>
    <t>Должность</t>
  </si>
  <si>
    <t>Программист</t>
  </si>
  <si>
    <t>Аудитор</t>
  </si>
  <si>
    <t>Администратор</t>
  </si>
  <si>
    <t>Аналитик</t>
  </si>
  <si>
    <t>Инженер</t>
  </si>
  <si>
    <t>Главный инженер</t>
  </si>
  <si>
    <t>Финансовый директор</t>
  </si>
  <si>
    <t>Диспетчер</t>
  </si>
  <si>
    <t>Технолог</t>
  </si>
  <si>
    <t>Начальник</t>
  </si>
  <si>
    <t>Премия</t>
  </si>
  <si>
    <t>Cумма</t>
  </si>
  <si>
    <t>Месяц</t>
  </si>
  <si>
    <t>Январь</t>
  </si>
  <si>
    <t>Февраль</t>
  </si>
  <si>
    <t>Март</t>
  </si>
  <si>
    <t>Всего получить</t>
  </si>
  <si>
    <t>Фамилия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</si>
</sst>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/>
    <xf numFmtId="0" fontId="0" fillId="0" borderId="0" xfId="0" applyBorder="1"/>
    <xf numFmtId="0" fontId="3" fillId="0" borderId="11" xfId="0" applyFont="1" applyBorder="1" applyAlignment="1">
      <alignment horizontal="left" vertical="top"/>
    </xf>
    <xf numFmtId="0" fontId="3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center" wrapText="1"/>
    </xf>
    <xf numFmtId="0" fontId="2" fillId="0" borderId="0" xfId="0" applyFont="1" applyBorder="1"/>
    <xf numFmtId="4" fontId="1" fillId="0" borderId="4" xfId="0" applyNumberFormat="1" applyFont="1" applyBorder="1" applyAlignment="1">
      <alignment vertical="center" wrapText="1"/>
    </xf>
    <xf numFmtId="2" fontId="1" fillId="0" borderId="4" xfId="0" applyNumberFormat="1" applyFont="1" applyBorder="1" applyAlignment="1">
      <alignment vertical="center" wrapText="1"/>
    </xf>
    <xf numFmtId="0" fontId="1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6" xfId="0" applyBorder="1"/>
    <xf numFmtId="0" fontId="0" fillId="0" borderId="2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plotArea>
      <c:layout/>
      <c:barChart>
        <c:barDir val="col"/>
        <c:grouping val="clustered"/>
        <c:ser>
          <c:idx val="0"/>
          <c:order val="0"/>
          <c:tx>
            <c:strRef>
              <c:f>Январь!$B$2</c:f>
              <c:strCache>
                <c:ptCount val="1"/>
                <c:pt idx="0">
                  <c:v>Старухина</c:v>
                </c:pt>
              </c:strCache>
            </c:strRef>
          </c:tx>
          <c:cat>
            <c:strRef>
              <c:f>Январь!$J$1</c:f>
              <c:strCache>
                <c:ptCount val="1"/>
                <c:pt idx="0">
                  <c:v>Получить</c:v>
                </c:pt>
              </c:strCache>
            </c:strRef>
          </c:cat>
          <c:val>
            <c:numRef>
              <c:f>Январь!$J$2</c:f>
              <c:numCache>
                <c:formatCode>General</c:formatCode>
                <c:ptCount val="1"/>
                <c:pt idx="0">
                  <c:v>312</c:v>
                </c:pt>
              </c:numCache>
            </c:numRef>
          </c:val>
        </c:ser>
        <c:ser>
          <c:idx val="1"/>
          <c:order val="1"/>
          <c:tx>
            <c:strRef>
              <c:f>Январь!$B$3</c:f>
              <c:strCache>
                <c:ptCount val="1"/>
                <c:pt idx="0">
                  <c:v>Карпин</c:v>
                </c:pt>
              </c:strCache>
            </c:strRef>
          </c:tx>
          <c:cat>
            <c:strRef>
              <c:f>Январь!$J$1</c:f>
              <c:strCache>
                <c:ptCount val="1"/>
                <c:pt idx="0">
                  <c:v>Получить</c:v>
                </c:pt>
              </c:strCache>
            </c:strRef>
          </c:cat>
          <c:val>
            <c:numRef>
              <c:f>Январь!$J$3</c:f>
              <c:numCache>
                <c:formatCode>General</c:formatCode>
                <c:ptCount val="1"/>
                <c:pt idx="0">
                  <c:v>300</c:v>
                </c:pt>
              </c:numCache>
            </c:numRef>
          </c:val>
        </c:ser>
        <c:ser>
          <c:idx val="2"/>
          <c:order val="2"/>
          <c:tx>
            <c:strRef>
              <c:f>Январь!$B$4</c:f>
              <c:strCache>
                <c:ptCount val="1"/>
                <c:pt idx="0">
                  <c:v>Карпович</c:v>
                </c:pt>
              </c:strCache>
            </c:strRef>
          </c:tx>
          <c:cat>
            <c:strRef>
              <c:f>Январь!$J$1</c:f>
              <c:strCache>
                <c:ptCount val="1"/>
                <c:pt idx="0">
                  <c:v>Получить</c:v>
                </c:pt>
              </c:strCache>
            </c:strRef>
          </c:cat>
          <c:val>
            <c:numRef>
              <c:f>Январь!$J$4</c:f>
              <c:numCache>
                <c:formatCode>General</c:formatCode>
                <c:ptCount val="1"/>
                <c:pt idx="0">
                  <c:v>360</c:v>
                </c:pt>
              </c:numCache>
            </c:numRef>
          </c:val>
        </c:ser>
        <c:ser>
          <c:idx val="3"/>
          <c:order val="3"/>
          <c:tx>
            <c:strRef>
              <c:f>Январь!$B$5</c:f>
              <c:strCache>
                <c:ptCount val="1"/>
                <c:pt idx="0">
                  <c:v>Тихон</c:v>
                </c:pt>
              </c:strCache>
            </c:strRef>
          </c:tx>
          <c:cat>
            <c:strRef>
              <c:f>Январь!$J$1</c:f>
              <c:strCache>
                <c:ptCount val="1"/>
                <c:pt idx="0">
                  <c:v>Получить</c:v>
                </c:pt>
              </c:strCache>
            </c:strRef>
          </c:cat>
          <c:val>
            <c:numRef>
              <c:f>Январь!$J$5</c:f>
              <c:numCache>
                <c:formatCode>General</c:formatCode>
                <c:ptCount val="1"/>
                <c:pt idx="0">
                  <c:v>420</c:v>
                </c:pt>
              </c:numCache>
            </c:numRef>
          </c:val>
        </c:ser>
        <c:ser>
          <c:idx val="4"/>
          <c:order val="4"/>
          <c:tx>
            <c:strRef>
              <c:f>Январь!$B$6</c:f>
              <c:strCache>
                <c:ptCount val="1"/>
                <c:pt idx="0">
                  <c:v>Вермин</c:v>
                </c:pt>
              </c:strCache>
            </c:strRef>
          </c:tx>
          <c:cat>
            <c:strRef>
              <c:f>Январь!$J$1</c:f>
              <c:strCache>
                <c:ptCount val="1"/>
                <c:pt idx="0">
                  <c:v>Получить</c:v>
                </c:pt>
              </c:strCache>
            </c:strRef>
          </c:cat>
          <c:val>
            <c:numRef>
              <c:f>Январь!$J$6</c:f>
              <c:numCache>
                <c:formatCode>General</c:formatCode>
                <c:ptCount val="1"/>
                <c:pt idx="0">
                  <c:v>480</c:v>
                </c:pt>
              </c:numCache>
            </c:numRef>
          </c:val>
        </c:ser>
        <c:ser>
          <c:idx val="5"/>
          <c:order val="5"/>
          <c:tx>
            <c:strRef>
              <c:f>Январь!$B$7</c:f>
              <c:strCache>
                <c:ptCount val="1"/>
                <c:pt idx="0">
                  <c:v>Синицын</c:v>
                </c:pt>
              </c:strCache>
            </c:strRef>
          </c:tx>
          <c:cat>
            <c:strRef>
              <c:f>Январь!$J$1</c:f>
              <c:strCache>
                <c:ptCount val="1"/>
                <c:pt idx="0">
                  <c:v>Получить</c:v>
                </c:pt>
              </c:strCache>
            </c:strRef>
          </c:cat>
          <c:val>
            <c:numRef>
              <c:f>Январь!$J$7</c:f>
              <c:numCache>
                <c:formatCode>General</c:formatCode>
                <c:ptCount val="1"/>
                <c:pt idx="0">
                  <c:v>557.6</c:v>
                </c:pt>
              </c:numCache>
            </c:numRef>
          </c:val>
        </c:ser>
        <c:ser>
          <c:idx val="6"/>
          <c:order val="6"/>
          <c:tx>
            <c:strRef>
              <c:f>Январь!$B$8</c:f>
              <c:strCache>
                <c:ptCount val="1"/>
                <c:pt idx="0">
                  <c:v>Сизан</c:v>
                </c:pt>
              </c:strCache>
            </c:strRef>
          </c:tx>
          <c:cat>
            <c:strRef>
              <c:f>Январь!$J$1</c:f>
              <c:strCache>
                <c:ptCount val="1"/>
                <c:pt idx="0">
                  <c:v>Получить</c:v>
                </c:pt>
              </c:strCache>
            </c:strRef>
          </c:cat>
          <c:val>
            <c:numRef>
              <c:f>Январь!$J$8</c:f>
              <c:numCache>
                <c:formatCode>General</c:formatCode>
                <c:ptCount val="1"/>
                <c:pt idx="0">
                  <c:v>571.20000000000005</c:v>
                </c:pt>
              </c:numCache>
            </c:numRef>
          </c:val>
        </c:ser>
        <c:ser>
          <c:idx val="7"/>
          <c:order val="7"/>
          <c:tx>
            <c:strRef>
              <c:f>Январь!$B$9</c:f>
              <c:strCache>
                <c:ptCount val="1"/>
                <c:pt idx="0">
                  <c:v>Адамович</c:v>
                </c:pt>
              </c:strCache>
            </c:strRef>
          </c:tx>
          <c:cat>
            <c:strRef>
              <c:f>Январь!$J$1</c:f>
              <c:strCache>
                <c:ptCount val="1"/>
                <c:pt idx="0">
                  <c:v>Получить</c:v>
                </c:pt>
              </c:strCache>
            </c:strRef>
          </c:cat>
          <c:val>
            <c:numRef>
              <c:f>Январь!$J$9</c:f>
              <c:numCache>
                <c:formatCode>General</c:formatCode>
                <c:ptCount val="1"/>
                <c:pt idx="0">
                  <c:v>584.79999999999995</c:v>
                </c:pt>
              </c:numCache>
            </c:numRef>
          </c:val>
        </c:ser>
        <c:ser>
          <c:idx val="8"/>
          <c:order val="8"/>
          <c:tx>
            <c:strRef>
              <c:f>Январь!$B$10</c:f>
              <c:strCache>
                <c:ptCount val="1"/>
                <c:pt idx="0">
                  <c:v>Торун</c:v>
                </c:pt>
              </c:strCache>
            </c:strRef>
          </c:tx>
          <c:cat>
            <c:strRef>
              <c:f>Январь!$J$1</c:f>
              <c:strCache>
                <c:ptCount val="1"/>
                <c:pt idx="0">
                  <c:v>Получить</c:v>
                </c:pt>
              </c:strCache>
            </c:strRef>
          </c:cat>
          <c:val>
            <c:numRef>
              <c:f>Январь!$J$10</c:f>
              <c:numCache>
                <c:formatCode>General</c:formatCode>
                <c:ptCount val="1"/>
                <c:pt idx="0">
                  <c:v>598.4</c:v>
                </c:pt>
              </c:numCache>
            </c:numRef>
          </c:val>
        </c:ser>
        <c:ser>
          <c:idx val="9"/>
          <c:order val="9"/>
          <c:tx>
            <c:strRef>
              <c:f>Январь!$B$11</c:f>
              <c:strCache>
                <c:ptCount val="1"/>
                <c:pt idx="0">
                  <c:v>Морковец</c:v>
                </c:pt>
              </c:strCache>
            </c:strRef>
          </c:tx>
          <c:cat>
            <c:strRef>
              <c:f>Январь!$J$1</c:f>
              <c:strCache>
                <c:ptCount val="1"/>
                <c:pt idx="0">
                  <c:v>Получить</c:v>
                </c:pt>
              </c:strCache>
            </c:strRef>
          </c:cat>
          <c:val>
            <c:numRef>
              <c:f>Январь!$J$11</c:f>
              <c:numCache>
                <c:formatCode>General</c:formatCode>
                <c:ptCount val="1"/>
                <c:pt idx="0">
                  <c:v>612</c:v>
                </c:pt>
              </c:numCache>
            </c:numRef>
          </c:val>
        </c:ser>
        <c:ser>
          <c:idx val="10"/>
          <c:order val="10"/>
          <c:tx>
            <c:strRef>
              <c:f>Январь!$B$12</c:f>
              <c:strCache>
                <c:ptCount val="1"/>
                <c:pt idx="0">
                  <c:v>Родин</c:v>
                </c:pt>
              </c:strCache>
            </c:strRef>
          </c:tx>
          <c:cat>
            <c:strRef>
              <c:f>Январь!$J$1</c:f>
              <c:strCache>
                <c:ptCount val="1"/>
                <c:pt idx="0">
                  <c:v>Получить</c:v>
                </c:pt>
              </c:strCache>
            </c:strRef>
          </c:cat>
          <c:val>
            <c:numRef>
              <c:f>Январь!$J$12</c:f>
              <c:numCache>
                <c:formatCode>General</c:formatCode>
                <c:ptCount val="1"/>
                <c:pt idx="0">
                  <c:v>856.8</c:v>
                </c:pt>
              </c:numCache>
            </c:numRef>
          </c:val>
        </c:ser>
        <c:ser>
          <c:idx val="11"/>
          <c:order val="11"/>
          <c:tx>
            <c:strRef>
              <c:f>Январь!$B$13</c:f>
              <c:strCache>
                <c:ptCount val="1"/>
                <c:pt idx="0">
                  <c:v>Хомич</c:v>
                </c:pt>
              </c:strCache>
            </c:strRef>
          </c:tx>
          <c:cat>
            <c:strRef>
              <c:f>Январь!$J$1</c:f>
              <c:strCache>
                <c:ptCount val="1"/>
                <c:pt idx="0">
                  <c:v>Получить</c:v>
                </c:pt>
              </c:strCache>
            </c:strRef>
          </c:cat>
          <c:val>
            <c:numRef>
              <c:f>Январь!$J$13</c:f>
              <c:numCache>
                <c:formatCode>General</c:formatCode>
                <c:ptCount val="1"/>
                <c:pt idx="0">
                  <c:v>924.8</c:v>
                </c:pt>
              </c:numCache>
            </c:numRef>
          </c:val>
        </c:ser>
        <c:ser>
          <c:idx val="12"/>
          <c:order val="12"/>
          <c:tx>
            <c:strRef>
              <c:f>Январь!$B$14</c:f>
              <c:strCache>
                <c:ptCount val="1"/>
                <c:pt idx="0">
                  <c:v>Дашкевич</c:v>
                </c:pt>
              </c:strCache>
            </c:strRef>
          </c:tx>
          <c:cat>
            <c:strRef>
              <c:f>Январь!$J$1</c:f>
              <c:strCache>
                <c:ptCount val="1"/>
                <c:pt idx="0">
                  <c:v>Получить</c:v>
                </c:pt>
              </c:strCache>
            </c:strRef>
          </c:cat>
          <c:val>
            <c:numRef>
              <c:f>Январь!$J$14</c:f>
              <c:numCache>
                <c:formatCode>General</c:formatCode>
                <c:ptCount val="1"/>
                <c:pt idx="0">
                  <c:v>992.8</c:v>
                </c:pt>
              </c:numCache>
            </c:numRef>
          </c:val>
        </c:ser>
        <c:ser>
          <c:idx val="13"/>
          <c:order val="13"/>
          <c:tx>
            <c:strRef>
              <c:f>Январь!$B$15</c:f>
              <c:strCache>
                <c:ptCount val="1"/>
                <c:pt idx="0">
                  <c:v>Кибинь</c:v>
                </c:pt>
              </c:strCache>
            </c:strRef>
          </c:tx>
          <c:cat>
            <c:strRef>
              <c:f>Январь!$J$1</c:f>
              <c:strCache>
                <c:ptCount val="1"/>
                <c:pt idx="0">
                  <c:v>Получить</c:v>
                </c:pt>
              </c:strCache>
            </c:strRef>
          </c:cat>
          <c:val>
            <c:numRef>
              <c:f>Январь!$J$15</c:f>
              <c:numCache>
                <c:formatCode>General</c:formatCode>
                <c:ptCount val="1"/>
                <c:pt idx="0">
                  <c:v>1060.8</c:v>
                </c:pt>
              </c:numCache>
            </c:numRef>
          </c:val>
        </c:ser>
        <c:ser>
          <c:idx val="14"/>
          <c:order val="14"/>
          <c:tx>
            <c:strRef>
              <c:f>Январь!$B$16</c:f>
              <c:strCache>
                <c:ptCount val="1"/>
                <c:pt idx="0">
                  <c:v>Бубен</c:v>
                </c:pt>
              </c:strCache>
            </c:strRef>
          </c:tx>
          <c:cat>
            <c:strRef>
              <c:f>Январь!$J$1</c:f>
              <c:strCache>
                <c:ptCount val="1"/>
                <c:pt idx="0">
                  <c:v>Получить</c:v>
                </c:pt>
              </c:strCache>
            </c:strRef>
          </c:cat>
          <c:val>
            <c:numRef>
              <c:f>Январь!$J$16</c:f>
              <c:numCache>
                <c:formatCode>General</c:formatCode>
                <c:ptCount val="1"/>
                <c:pt idx="0">
                  <c:v>1088</c:v>
                </c:pt>
              </c:numCache>
            </c:numRef>
          </c:val>
        </c:ser>
        <c:ser>
          <c:idx val="15"/>
          <c:order val="15"/>
          <c:tx>
            <c:strRef>
              <c:f>Январь!$B$17</c:f>
              <c:strCache>
                <c:ptCount val="1"/>
                <c:pt idx="0">
                  <c:v>Шабуневич</c:v>
                </c:pt>
              </c:strCache>
            </c:strRef>
          </c:tx>
          <c:cat>
            <c:strRef>
              <c:f>Январь!$J$1</c:f>
              <c:strCache>
                <c:ptCount val="1"/>
                <c:pt idx="0">
                  <c:v>Получить</c:v>
                </c:pt>
              </c:strCache>
            </c:strRef>
          </c:cat>
          <c:val>
            <c:numRef>
              <c:f>Январь!$J$17</c:f>
              <c:numCache>
                <c:formatCode>General</c:formatCode>
                <c:ptCount val="1"/>
                <c:pt idx="0">
                  <c:v>984</c:v>
                </c:pt>
              </c:numCache>
            </c:numRef>
          </c:val>
        </c:ser>
        <c:ser>
          <c:idx val="16"/>
          <c:order val="16"/>
          <c:tx>
            <c:strRef>
              <c:f>Январь!$B$18</c:f>
              <c:strCache>
                <c:ptCount val="1"/>
                <c:pt idx="0">
                  <c:v>Майзет</c:v>
                </c:pt>
              </c:strCache>
            </c:strRef>
          </c:tx>
          <c:cat>
            <c:strRef>
              <c:f>Январь!$J$1</c:f>
              <c:strCache>
                <c:ptCount val="1"/>
                <c:pt idx="0">
                  <c:v>Получить</c:v>
                </c:pt>
              </c:strCache>
            </c:strRef>
          </c:cat>
          <c:val>
            <c:numRef>
              <c:f>Январь!$J$18</c:f>
              <c:numCache>
                <c:formatCode>General</c:formatCode>
                <c:ptCount val="1"/>
                <c:pt idx="0">
                  <c:v>1020</c:v>
                </c:pt>
              </c:numCache>
            </c:numRef>
          </c:val>
        </c:ser>
        <c:ser>
          <c:idx val="17"/>
          <c:order val="17"/>
          <c:tx>
            <c:strRef>
              <c:f>Январь!$B$19</c:f>
              <c:strCache>
                <c:ptCount val="1"/>
                <c:pt idx="0">
                  <c:v>Беганский</c:v>
                </c:pt>
              </c:strCache>
            </c:strRef>
          </c:tx>
          <c:cat>
            <c:strRef>
              <c:f>Январь!$J$1</c:f>
              <c:strCache>
                <c:ptCount val="1"/>
                <c:pt idx="0">
                  <c:v>Получить</c:v>
                </c:pt>
              </c:strCache>
            </c:strRef>
          </c:cat>
          <c:val>
            <c:numRef>
              <c:f>Январь!$J$19</c:f>
              <c:numCache>
                <c:formatCode>General</c:formatCode>
                <c:ptCount val="1"/>
                <c:pt idx="0">
                  <c:v>1196.8</c:v>
                </c:pt>
              </c:numCache>
            </c:numRef>
          </c:val>
        </c:ser>
        <c:ser>
          <c:idx val="18"/>
          <c:order val="18"/>
          <c:tx>
            <c:strRef>
              <c:f>Январь!$B$20</c:f>
              <c:strCache>
                <c:ptCount val="1"/>
                <c:pt idx="0">
                  <c:v>Крюк</c:v>
                </c:pt>
              </c:strCache>
            </c:strRef>
          </c:tx>
          <c:cat>
            <c:strRef>
              <c:f>Январь!$J$1</c:f>
              <c:strCache>
                <c:ptCount val="1"/>
                <c:pt idx="0">
                  <c:v>Получить</c:v>
                </c:pt>
              </c:strCache>
            </c:strRef>
          </c:cat>
          <c:val>
            <c:numRef>
              <c:f>Январь!$J$20</c:f>
              <c:numCache>
                <c:formatCode>General</c:formatCode>
                <c:ptCount val="1"/>
                <c:pt idx="0">
                  <c:v>1237.5999999999999</c:v>
                </c:pt>
              </c:numCache>
            </c:numRef>
          </c:val>
        </c:ser>
        <c:ser>
          <c:idx val="19"/>
          <c:order val="19"/>
          <c:tx>
            <c:strRef>
              <c:f>Январь!$B$21</c:f>
              <c:strCache>
                <c:ptCount val="1"/>
                <c:pt idx="0">
                  <c:v>Молош</c:v>
                </c:pt>
              </c:strCache>
            </c:strRef>
          </c:tx>
          <c:cat>
            <c:strRef>
              <c:f>Январь!$J$1</c:f>
              <c:strCache>
                <c:ptCount val="1"/>
                <c:pt idx="0">
                  <c:v>Получить</c:v>
                </c:pt>
              </c:strCache>
            </c:strRef>
          </c:cat>
          <c:val>
            <c:numRef>
              <c:f>Январь!$J$21</c:f>
              <c:numCache>
                <c:formatCode>General</c:formatCode>
                <c:ptCount val="1"/>
                <c:pt idx="0">
                  <c:v>1128</c:v>
                </c:pt>
              </c:numCache>
            </c:numRef>
          </c:val>
        </c:ser>
        <c:dLbls/>
        <c:axId val="108438272"/>
        <c:axId val="108439808"/>
      </c:barChart>
      <c:catAx>
        <c:axId val="108438272"/>
        <c:scaling>
          <c:orientation val="minMax"/>
        </c:scaling>
        <c:axPos val="b"/>
        <c:tickLblPos val="nextTo"/>
        <c:crossAx val="108439808"/>
        <c:crosses val="autoZero"/>
        <c:auto val="1"/>
        <c:lblAlgn val="ctr"/>
        <c:lblOffset val="100"/>
      </c:catAx>
      <c:valAx>
        <c:axId val="108439808"/>
        <c:scaling>
          <c:orientation val="minMax"/>
        </c:scaling>
        <c:axPos val="l"/>
        <c:majorGridlines/>
        <c:numFmt formatCode="General" sourceLinked="1"/>
        <c:tickLblPos val="nextTo"/>
        <c:crossAx val="1084382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351828983948231"/>
          <c:y val="6.6667706558336801E-2"/>
          <c:w val="0.13648171016051766"/>
          <c:h val="0.90500639910757152"/>
        </c:manualLayout>
      </c:layout>
    </c:legend>
    <c:plotVisOnly val="1"/>
    <c:dispBlanksAs val="gap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autoTitleDeleted val="1"/>
    <c:plotArea>
      <c:layout>
        <c:manualLayout>
          <c:layoutTarget val="inner"/>
          <c:xMode val="edge"/>
          <c:yMode val="edge"/>
          <c:x val="5.858092738407699E-2"/>
          <c:y val="4.2407349081364829E-2"/>
          <c:w val="0.87753018372703406"/>
          <c:h val="0.84167468649752142"/>
        </c:manualLayout>
      </c:layout>
      <c:lineChart>
        <c:grouping val="standard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'Зп фин. директора'!$B$1:$D$1</c:f>
              <c:strCache>
                <c:ptCount val="3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</c:strCache>
            </c:strRef>
          </c:cat>
          <c:val>
            <c:numRef>
              <c:f>'Зп фин. директора'!$B$2:$D$2</c:f>
              <c:numCache>
                <c:formatCode>General</c:formatCode>
                <c:ptCount val="3"/>
                <c:pt idx="0">
                  <c:v>1020</c:v>
                </c:pt>
                <c:pt idx="1">
                  <c:v>1122.0000000000002</c:v>
                </c:pt>
                <c:pt idx="2">
                  <c:v>1178.1000000000001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33F-4E38-A258-297116229011}"/>
            </c:ext>
          </c:extLst>
        </c:ser>
        <c:dLbls>
          <c:showVal val="1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axId val="108930560"/>
        <c:axId val="108932096"/>
      </c:lineChart>
      <c:catAx>
        <c:axId val="108930560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8932096"/>
        <c:crosses val="autoZero"/>
        <c:auto val="1"/>
        <c:lblAlgn val="ctr"/>
        <c:lblOffset val="100"/>
      </c:catAx>
      <c:valAx>
        <c:axId val="108932096"/>
        <c:scaling>
          <c:orientation val="minMax"/>
        </c:scaling>
        <c:delete val="1"/>
        <c:axPos val="l"/>
        <c:numFmt formatCode="General" sourceLinked="1"/>
        <c:majorTickMark val="none"/>
        <c:tickLblPos val="nextTo"/>
        <c:crossAx val="108930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36573</xdr:colOff>
      <xdr:row>24</xdr:row>
      <xdr:rowOff>21080</xdr:rowOff>
    </xdr:from>
    <xdr:to>
      <xdr:col>8</xdr:col>
      <xdr:colOff>569177</xdr:colOff>
      <xdr:row>44</xdr:row>
      <xdr:rowOff>46463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85725</xdr:colOff>
      <xdr:row>24</xdr:row>
      <xdr:rowOff>171450</xdr:rowOff>
    </xdr:from>
    <xdr:to>
      <xdr:col>5</xdr:col>
      <xdr:colOff>600075</xdr:colOff>
      <xdr:row>26</xdr:row>
      <xdr:rowOff>38100</xdr:rowOff>
    </xdr:to>
    <xdr:sp macro="" textlink="">
      <xdr:nvSpPr>
        <xdr:cNvPr id="2" name="TextBox 1"/>
        <xdr:cNvSpPr txBox="1"/>
      </xdr:nvSpPr>
      <xdr:spPr>
        <a:xfrm>
          <a:off x="1647825" y="5448300"/>
          <a:ext cx="3181350" cy="266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400" b="1">
              <a:latin typeface="Times New Roman" pitchFamily="18" charset="0"/>
              <a:cs typeface="Times New Roman" pitchFamily="18" charset="0"/>
            </a:rPr>
            <a:t>Зарплаты сотрудников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53340</xdr:rowOff>
    </xdr:from>
    <xdr:to>
      <xdr:col>7</xdr:col>
      <xdr:colOff>304800</xdr:colOff>
      <xdr:row>19</xdr:row>
      <xdr:rowOff>53340</xdr:rowOff>
    </xdr:to>
    <xdr:graphicFrame macro="">
      <xdr:nvGraphicFramePr>
        <xdr:cNvPr id="2" name="Диаграмма 1">
          <a:extLst>
            <a:ext uri="{FF2B5EF4-FFF2-40B4-BE49-F238E27FC236}">
              <a16:creationId xmlns="" xmlns:a16="http://schemas.microsoft.com/office/drawing/2014/main" id="{C4A9B913-02A3-40C4-A8E4-C6B6D2DB74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0.14792</cdr:x>
      <cdr:y>0.008</cdr:y>
    </cdr:from>
    <cdr:to>
      <cdr:x>0.78333</cdr:x>
      <cdr:y>0.17467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676275" y="22860"/>
          <a:ext cx="2905125" cy="47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ru-RU" sz="1400" b="1">
              <a:solidFill>
                <a:schemeClr val="bg1"/>
              </a:solidFill>
            </a:rPr>
            <a:t>Зарплата</a:t>
          </a:r>
          <a:r>
            <a:rPr lang="ru-RU" sz="1400" b="1" baseline="0">
              <a:solidFill>
                <a:schemeClr val="bg1"/>
              </a:solidFill>
            </a:rPr>
            <a:t> финансового директора</a:t>
          </a:r>
          <a:endParaRPr lang="ru-RU" sz="14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24"/>
  <sheetViews>
    <sheetView zoomScaleNormal="100" workbookViewId="0">
      <pane ySplit="1" topLeftCell="A2" activePane="bottomLeft" state="frozen"/>
      <selection pane="bottomLeft" activeCell="K22" sqref="K22"/>
    </sheetView>
  </sheetViews>
  <sheetFormatPr defaultRowHeight="15"/>
  <cols>
    <col min="2" max="2" width="14.28515625" customWidth="1"/>
    <col min="3" max="3" width="21.7109375" customWidth="1"/>
    <col min="7" max="7" width="10.42578125" customWidth="1"/>
    <col min="10" max="10" width="10.28515625" customWidth="1"/>
    <col min="11" max="11" width="12.7109375" bestFit="1" customWidth="1"/>
  </cols>
  <sheetData>
    <row r="1" spans="1:11" ht="32.25" thickBot="1">
      <c r="A1" s="1" t="s">
        <v>8</v>
      </c>
      <c r="B1" s="2" t="s">
        <v>55</v>
      </c>
      <c r="C1" s="2" t="s">
        <v>37</v>
      </c>
      <c r="D1" s="2" t="s">
        <v>0</v>
      </c>
      <c r="E1" s="2" t="s">
        <v>1</v>
      </c>
      <c r="F1" s="2" t="s">
        <v>48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</row>
    <row r="2" spans="1:11" ht="17.25" customHeight="1" thickBot="1">
      <c r="A2" s="3">
        <v>1</v>
      </c>
      <c r="B2" s="4" t="s">
        <v>17</v>
      </c>
      <c r="C2" s="4" t="s">
        <v>29</v>
      </c>
      <c r="D2" s="4">
        <v>0</v>
      </c>
      <c r="E2" s="4">
        <v>200</v>
      </c>
      <c r="F2" s="4">
        <f>E2*0.5</f>
        <v>100</v>
      </c>
      <c r="G2" s="4">
        <f>G11</f>
        <v>90</v>
      </c>
      <c r="H2" s="4">
        <f>E2+F2+G2</f>
        <v>390</v>
      </c>
      <c r="I2" s="4">
        <f>0.2*H2</f>
        <v>78</v>
      </c>
      <c r="J2" s="4">
        <f>H2-I2</f>
        <v>312</v>
      </c>
      <c r="K2" s="16">
        <f>J2/$J$22</f>
        <v>2.0411367561626627E-2</v>
      </c>
    </row>
    <row r="3" spans="1:11" ht="16.5" thickBot="1">
      <c r="A3" s="3">
        <v>2</v>
      </c>
      <c r="B3" s="4" t="s">
        <v>9</v>
      </c>
      <c r="C3" s="4" t="s">
        <v>30</v>
      </c>
      <c r="D3" s="4">
        <v>2</v>
      </c>
      <c r="E3" s="4">
        <v>250</v>
      </c>
      <c r="F3" s="4">
        <f>E3*0.5</f>
        <v>125</v>
      </c>
      <c r="G3" s="4">
        <f>IF(D3&gt;10,0.2*E3,0)</f>
        <v>0</v>
      </c>
      <c r="H3" s="4">
        <f>E3+F3+G3</f>
        <v>375</v>
      </c>
      <c r="I3" s="4">
        <f>0.2*H3</f>
        <v>75</v>
      </c>
      <c r="J3" s="4">
        <f t="shared" ref="J3:J21" si="0">H3-I3</f>
        <v>300</v>
      </c>
      <c r="K3" s="16">
        <f t="shared" ref="K3:K21" si="1">J3/$J$22</f>
        <v>1.9626314963102527E-2</v>
      </c>
    </row>
    <row r="4" spans="1:11" ht="16.5" thickBot="1">
      <c r="A4" s="3">
        <v>3</v>
      </c>
      <c r="B4" s="4" t="s">
        <v>10</v>
      </c>
      <c r="C4" s="4" t="s">
        <v>31</v>
      </c>
      <c r="D4" s="4">
        <v>6</v>
      </c>
      <c r="E4" s="4">
        <v>300</v>
      </c>
      <c r="F4" s="4">
        <f t="shared" ref="F4:F6" si="2">E4*0.5</f>
        <v>150</v>
      </c>
      <c r="G4" s="4">
        <f>IF(D4&gt;10,0.2*E4,0)</f>
        <v>0</v>
      </c>
      <c r="H4" s="4">
        <f>E4+F4+G4</f>
        <v>450</v>
      </c>
      <c r="I4" s="4">
        <f>0.2*H4</f>
        <v>90</v>
      </c>
      <c r="J4" s="4">
        <f t="shared" si="0"/>
        <v>360</v>
      </c>
      <c r="K4" s="16">
        <f t="shared" si="1"/>
        <v>2.3551577955723033E-2</v>
      </c>
    </row>
    <row r="5" spans="1:11" ht="16.5" thickBot="1">
      <c r="A5" s="3">
        <v>4</v>
      </c>
      <c r="B5" s="4" t="s">
        <v>11</v>
      </c>
      <c r="C5" s="4" t="s">
        <v>32</v>
      </c>
      <c r="D5" s="4">
        <v>4</v>
      </c>
      <c r="E5" s="4">
        <v>350</v>
      </c>
      <c r="F5" s="4">
        <f t="shared" si="2"/>
        <v>175</v>
      </c>
      <c r="G5" s="4">
        <f>IF(D5&gt;10,0.2*E5,0)</f>
        <v>0</v>
      </c>
      <c r="H5" s="4">
        <f t="shared" ref="H5:H21" si="3">E5+F5+G5</f>
        <v>525</v>
      </c>
      <c r="I5" s="4">
        <f t="shared" ref="I5:I21" si="4">0.2*H5</f>
        <v>105</v>
      </c>
      <c r="J5" s="4">
        <f t="shared" si="0"/>
        <v>420</v>
      </c>
      <c r="K5" s="16">
        <f t="shared" si="1"/>
        <v>2.7476840948343538E-2</v>
      </c>
    </row>
    <row r="6" spans="1:11" ht="16.5" thickBot="1">
      <c r="A6" s="3">
        <v>5</v>
      </c>
      <c r="B6" s="6" t="s">
        <v>12</v>
      </c>
      <c r="C6" s="6" t="s">
        <v>33</v>
      </c>
      <c r="D6" s="6">
        <v>5</v>
      </c>
      <c r="E6" s="4">
        <v>400</v>
      </c>
      <c r="F6" s="4">
        <f t="shared" si="2"/>
        <v>200</v>
      </c>
      <c r="G6" s="4">
        <f t="shared" ref="G6:G21" si="5">IF(D6&gt;10,0.2*E6,0)</f>
        <v>0</v>
      </c>
      <c r="H6" s="4">
        <f t="shared" si="3"/>
        <v>600</v>
      </c>
      <c r="I6" s="4">
        <f t="shared" si="4"/>
        <v>120</v>
      </c>
      <c r="J6" s="4">
        <f t="shared" si="0"/>
        <v>480</v>
      </c>
      <c r="K6" s="16">
        <f t="shared" si="1"/>
        <v>3.1402103940964043E-2</v>
      </c>
    </row>
    <row r="7" spans="1:11" ht="21" customHeight="1" thickBot="1">
      <c r="A7" s="3">
        <v>6</v>
      </c>
      <c r="B7" s="7" t="s">
        <v>13</v>
      </c>
      <c r="C7" s="7" t="s">
        <v>34</v>
      </c>
      <c r="D7" s="5">
        <v>11</v>
      </c>
      <c r="E7" s="4">
        <v>410</v>
      </c>
      <c r="F7" s="4">
        <f>E7*0.5</f>
        <v>205</v>
      </c>
      <c r="G7" s="4">
        <f t="shared" si="5"/>
        <v>82</v>
      </c>
      <c r="H7" s="4">
        <f t="shared" si="3"/>
        <v>697</v>
      </c>
      <c r="I7" s="4">
        <f t="shared" si="4"/>
        <v>139.4</v>
      </c>
      <c r="J7" s="4">
        <f t="shared" si="0"/>
        <v>557.6</v>
      </c>
      <c r="K7" s="16">
        <f t="shared" si="1"/>
        <v>3.6478777411419902E-2</v>
      </c>
    </row>
    <row r="8" spans="1:11" ht="16.5" thickBot="1">
      <c r="A8" s="3">
        <v>7</v>
      </c>
      <c r="B8" s="3" t="s">
        <v>14</v>
      </c>
      <c r="C8" s="3" t="s">
        <v>31</v>
      </c>
      <c r="D8" s="4">
        <v>20</v>
      </c>
      <c r="E8" s="4">
        <v>420</v>
      </c>
      <c r="F8" s="4">
        <f>E8*0.5</f>
        <v>210</v>
      </c>
      <c r="G8" s="4">
        <f t="shared" si="5"/>
        <v>84</v>
      </c>
      <c r="H8" s="4">
        <f t="shared" si="3"/>
        <v>714</v>
      </c>
      <c r="I8" s="4">
        <f t="shared" si="4"/>
        <v>142.80000000000001</v>
      </c>
      <c r="J8" s="4">
        <f t="shared" si="0"/>
        <v>571.20000000000005</v>
      </c>
      <c r="K8" s="16">
        <f t="shared" si="1"/>
        <v>3.7368503689747215E-2</v>
      </c>
    </row>
    <row r="9" spans="1:11" ht="16.5" thickBot="1">
      <c r="A9" s="3">
        <v>8</v>
      </c>
      <c r="B9" s="8" t="s">
        <v>15</v>
      </c>
      <c r="C9" s="8" t="s">
        <v>29</v>
      </c>
      <c r="D9" s="8">
        <v>19</v>
      </c>
      <c r="E9" s="4">
        <v>430</v>
      </c>
      <c r="F9" s="4">
        <f t="shared" ref="F9:F15" si="6">E9*0.5</f>
        <v>215</v>
      </c>
      <c r="G9" s="4">
        <f t="shared" si="5"/>
        <v>86</v>
      </c>
      <c r="H9" s="4">
        <f t="shared" si="3"/>
        <v>731</v>
      </c>
      <c r="I9" s="4">
        <f t="shared" si="4"/>
        <v>146.20000000000002</v>
      </c>
      <c r="J9" s="4">
        <f t="shared" si="0"/>
        <v>584.79999999999995</v>
      </c>
      <c r="K9" s="16">
        <f t="shared" si="1"/>
        <v>3.8258229968074521E-2</v>
      </c>
    </row>
    <row r="10" spans="1:11" ht="16.5" thickBot="1">
      <c r="A10" s="3">
        <v>9</v>
      </c>
      <c r="B10" s="8" t="s">
        <v>16</v>
      </c>
      <c r="C10" s="8" t="s">
        <v>35</v>
      </c>
      <c r="D10" s="8">
        <v>15</v>
      </c>
      <c r="E10" s="4">
        <v>440</v>
      </c>
      <c r="F10" s="4">
        <f t="shared" si="6"/>
        <v>220</v>
      </c>
      <c r="G10" s="4">
        <f t="shared" si="5"/>
        <v>88</v>
      </c>
      <c r="H10" s="4">
        <f t="shared" si="3"/>
        <v>748</v>
      </c>
      <c r="I10" s="4">
        <f t="shared" si="4"/>
        <v>149.6</v>
      </c>
      <c r="J10" s="4">
        <f t="shared" si="0"/>
        <v>598.4</v>
      </c>
      <c r="K10" s="16">
        <f t="shared" si="1"/>
        <v>3.9147956246401841E-2</v>
      </c>
    </row>
    <row r="11" spans="1:11" ht="16.5" thickBot="1">
      <c r="A11" s="3">
        <v>10</v>
      </c>
      <c r="B11" s="8" t="s">
        <v>18</v>
      </c>
      <c r="C11" s="8" t="s">
        <v>36</v>
      </c>
      <c r="D11" s="8">
        <v>16</v>
      </c>
      <c r="E11" s="4">
        <v>450</v>
      </c>
      <c r="F11" s="4">
        <f t="shared" si="6"/>
        <v>225</v>
      </c>
      <c r="G11" s="4">
        <f t="shared" si="5"/>
        <v>90</v>
      </c>
      <c r="H11" s="4">
        <f t="shared" si="3"/>
        <v>765</v>
      </c>
      <c r="I11" s="4">
        <f t="shared" si="4"/>
        <v>153</v>
      </c>
      <c r="J11" s="4">
        <f t="shared" si="0"/>
        <v>612</v>
      </c>
      <c r="K11" s="16">
        <f t="shared" si="1"/>
        <v>4.0037682524729154E-2</v>
      </c>
    </row>
    <row r="12" spans="1:11" ht="16.5" thickBot="1">
      <c r="A12" s="3">
        <v>11</v>
      </c>
      <c r="B12" s="8" t="s">
        <v>19</v>
      </c>
      <c r="C12" s="8" t="s">
        <v>38</v>
      </c>
      <c r="D12" s="8">
        <v>22</v>
      </c>
      <c r="E12" s="8">
        <v>630</v>
      </c>
      <c r="F12" s="8">
        <f>E12*0.5</f>
        <v>315</v>
      </c>
      <c r="G12" s="4">
        <f t="shared" si="5"/>
        <v>126</v>
      </c>
      <c r="H12" s="4">
        <f t="shared" si="3"/>
        <v>1071</v>
      </c>
      <c r="I12" s="4">
        <f t="shared" si="4"/>
        <v>214.20000000000002</v>
      </c>
      <c r="J12" s="4">
        <f t="shared" si="0"/>
        <v>856.8</v>
      </c>
      <c r="K12" s="16">
        <f t="shared" si="1"/>
        <v>5.6052755534620816E-2</v>
      </c>
    </row>
    <row r="13" spans="1:11" ht="16.5" thickBot="1">
      <c r="A13" s="3">
        <v>12</v>
      </c>
      <c r="B13" s="8" t="s">
        <v>20</v>
      </c>
      <c r="C13" s="8" t="s">
        <v>39</v>
      </c>
      <c r="D13" s="8">
        <v>25</v>
      </c>
      <c r="E13" s="8">
        <v>680</v>
      </c>
      <c r="F13" s="4">
        <f t="shared" si="6"/>
        <v>340</v>
      </c>
      <c r="G13" s="4">
        <f t="shared" si="5"/>
        <v>136</v>
      </c>
      <c r="H13" s="4">
        <f t="shared" si="3"/>
        <v>1156</v>
      </c>
      <c r="I13" s="4">
        <f t="shared" si="4"/>
        <v>231.20000000000002</v>
      </c>
      <c r="J13" s="4">
        <f t="shared" si="0"/>
        <v>924.8</v>
      </c>
      <c r="K13" s="16">
        <f t="shared" si="1"/>
        <v>6.0501386926257388E-2</v>
      </c>
    </row>
    <row r="14" spans="1:11" ht="16.5" thickBot="1">
      <c r="A14" s="3">
        <v>13</v>
      </c>
      <c r="B14" s="8" t="s">
        <v>21</v>
      </c>
      <c r="C14" s="8" t="s">
        <v>40</v>
      </c>
      <c r="D14" s="8">
        <v>30</v>
      </c>
      <c r="E14" s="8">
        <v>730</v>
      </c>
      <c r="F14" s="8">
        <f t="shared" si="6"/>
        <v>365</v>
      </c>
      <c r="G14" s="4">
        <f t="shared" si="5"/>
        <v>146</v>
      </c>
      <c r="H14" s="4">
        <f t="shared" si="3"/>
        <v>1241</v>
      </c>
      <c r="I14" s="4">
        <f t="shared" si="4"/>
        <v>248.20000000000002</v>
      </c>
      <c r="J14" s="4">
        <f t="shared" si="0"/>
        <v>992.8</v>
      </c>
      <c r="K14" s="16">
        <f t="shared" si="1"/>
        <v>6.4950018317893959E-2</v>
      </c>
    </row>
    <row r="15" spans="1:11" ht="16.5" thickBot="1">
      <c r="A15" s="3">
        <v>14</v>
      </c>
      <c r="B15" s="8" t="s">
        <v>22</v>
      </c>
      <c r="C15" s="8" t="s">
        <v>41</v>
      </c>
      <c r="D15" s="8">
        <v>24</v>
      </c>
      <c r="E15" s="8">
        <v>780</v>
      </c>
      <c r="F15" s="4">
        <f t="shared" si="6"/>
        <v>390</v>
      </c>
      <c r="G15" s="4">
        <f t="shared" si="5"/>
        <v>156</v>
      </c>
      <c r="H15" s="4">
        <f t="shared" si="3"/>
        <v>1326</v>
      </c>
      <c r="I15" s="4">
        <f t="shared" si="4"/>
        <v>265.2</v>
      </c>
      <c r="J15" s="4">
        <f t="shared" si="0"/>
        <v>1060.8</v>
      </c>
      <c r="K15" s="16">
        <f t="shared" si="1"/>
        <v>6.9398649709530538E-2</v>
      </c>
    </row>
    <row r="16" spans="1:11" ht="16.5" thickBot="1">
      <c r="A16" s="3">
        <v>15</v>
      </c>
      <c r="B16" s="8" t="s">
        <v>23</v>
      </c>
      <c r="C16" s="8" t="s">
        <v>42</v>
      </c>
      <c r="D16" s="8">
        <v>25</v>
      </c>
      <c r="E16" s="8">
        <v>800</v>
      </c>
      <c r="F16" s="8">
        <f>E16*0.5</f>
        <v>400</v>
      </c>
      <c r="G16" s="4">
        <f t="shared" si="5"/>
        <v>160</v>
      </c>
      <c r="H16" s="4">
        <f t="shared" si="3"/>
        <v>1360</v>
      </c>
      <c r="I16" s="4">
        <f t="shared" si="4"/>
        <v>272</v>
      </c>
      <c r="J16" s="4">
        <f t="shared" si="0"/>
        <v>1088</v>
      </c>
      <c r="K16" s="16">
        <f t="shared" si="1"/>
        <v>7.1178102266185164E-2</v>
      </c>
    </row>
    <row r="17" spans="1:11" ht="16.5" thickBot="1">
      <c r="A17" s="3">
        <v>16</v>
      </c>
      <c r="B17" s="8" t="s">
        <v>24</v>
      </c>
      <c r="C17" s="8" t="s">
        <v>43</v>
      </c>
      <c r="D17" s="8">
        <v>1</v>
      </c>
      <c r="E17" s="8">
        <v>820</v>
      </c>
      <c r="F17" s="8">
        <f>E17*0.5</f>
        <v>410</v>
      </c>
      <c r="G17" s="4">
        <f t="shared" si="5"/>
        <v>0</v>
      </c>
      <c r="H17" s="4">
        <f t="shared" si="3"/>
        <v>1230</v>
      </c>
      <c r="I17" s="4">
        <f t="shared" si="4"/>
        <v>246</v>
      </c>
      <c r="J17" s="4">
        <f t="shared" si="0"/>
        <v>984</v>
      </c>
      <c r="K17" s="16">
        <f t="shared" si="1"/>
        <v>6.4374313078976286E-2</v>
      </c>
    </row>
    <row r="18" spans="1:11" ht="16.5" thickBot="1">
      <c r="A18" s="3">
        <v>17</v>
      </c>
      <c r="B18" s="8" t="s">
        <v>25</v>
      </c>
      <c r="C18" s="8" t="s">
        <v>44</v>
      </c>
      <c r="D18" s="8">
        <v>5</v>
      </c>
      <c r="E18" s="8">
        <v>850</v>
      </c>
      <c r="F18" s="8">
        <f t="shared" ref="F18:F21" si="7">E18*0.5</f>
        <v>425</v>
      </c>
      <c r="G18" s="4">
        <f t="shared" si="5"/>
        <v>0</v>
      </c>
      <c r="H18" s="4">
        <f t="shared" si="3"/>
        <v>1275</v>
      </c>
      <c r="I18" s="4">
        <f t="shared" si="4"/>
        <v>255</v>
      </c>
      <c r="J18" s="4">
        <f t="shared" si="0"/>
        <v>1020</v>
      </c>
      <c r="K18" s="16">
        <f t="shared" si="1"/>
        <v>6.6729470874548599E-2</v>
      </c>
    </row>
    <row r="19" spans="1:11" ht="16.5" thickBot="1">
      <c r="A19" s="3">
        <v>18</v>
      </c>
      <c r="B19" s="8" t="s">
        <v>26</v>
      </c>
      <c r="C19" s="8" t="s">
        <v>45</v>
      </c>
      <c r="D19" s="8">
        <v>27</v>
      </c>
      <c r="E19" s="8">
        <v>880</v>
      </c>
      <c r="F19" s="8">
        <f t="shared" si="7"/>
        <v>440</v>
      </c>
      <c r="G19" s="4">
        <f t="shared" si="5"/>
        <v>176</v>
      </c>
      <c r="H19" s="4">
        <f t="shared" si="3"/>
        <v>1496</v>
      </c>
      <c r="I19" s="4">
        <f t="shared" si="4"/>
        <v>299.2</v>
      </c>
      <c r="J19" s="4">
        <f t="shared" si="0"/>
        <v>1196.8</v>
      </c>
      <c r="K19" s="16">
        <f t="shared" si="1"/>
        <v>7.8295912492803682E-2</v>
      </c>
    </row>
    <row r="20" spans="1:11" ht="16.5" thickBot="1">
      <c r="A20" s="3">
        <v>19</v>
      </c>
      <c r="B20" s="8" t="s">
        <v>27</v>
      </c>
      <c r="C20" s="8" t="s">
        <v>46</v>
      </c>
      <c r="D20" s="8">
        <v>45</v>
      </c>
      <c r="E20" s="8">
        <v>910</v>
      </c>
      <c r="F20" s="8">
        <f t="shared" si="7"/>
        <v>455</v>
      </c>
      <c r="G20" s="4">
        <f t="shared" si="5"/>
        <v>182</v>
      </c>
      <c r="H20" s="4">
        <f t="shared" si="3"/>
        <v>1547</v>
      </c>
      <c r="I20" s="4">
        <f t="shared" si="4"/>
        <v>309.40000000000003</v>
      </c>
      <c r="J20" s="4">
        <f t="shared" si="0"/>
        <v>1237.5999999999999</v>
      </c>
      <c r="K20" s="16">
        <f t="shared" si="1"/>
        <v>8.0965091327785621E-2</v>
      </c>
    </row>
    <row r="21" spans="1:11" ht="16.5" thickBot="1">
      <c r="A21" s="3">
        <v>20</v>
      </c>
      <c r="B21" s="8" t="s">
        <v>28</v>
      </c>
      <c r="C21" s="8" t="s">
        <v>47</v>
      </c>
      <c r="D21" s="8">
        <v>4</v>
      </c>
      <c r="E21" s="8">
        <v>940</v>
      </c>
      <c r="F21" s="8">
        <f t="shared" si="7"/>
        <v>470</v>
      </c>
      <c r="G21" s="4">
        <f t="shared" si="5"/>
        <v>0</v>
      </c>
      <c r="H21" s="4">
        <f t="shared" si="3"/>
        <v>1410</v>
      </c>
      <c r="I21" s="4">
        <f t="shared" si="4"/>
        <v>282</v>
      </c>
      <c r="J21" s="4">
        <f t="shared" si="0"/>
        <v>1128</v>
      </c>
      <c r="K21" s="16">
        <f t="shared" si="1"/>
        <v>7.3794944261265497E-2</v>
      </c>
    </row>
    <row r="22" spans="1:11" ht="16.5" thickBot="1">
      <c r="A22" s="21" t="s">
        <v>49</v>
      </c>
      <c r="B22" s="24"/>
      <c r="C22" s="24"/>
      <c r="D22" s="25"/>
      <c r="E22" s="5">
        <f>SUM(E2:E21)</f>
        <v>11670</v>
      </c>
      <c r="F22" s="5">
        <f>SUM(F2:F21)</f>
        <v>5835</v>
      </c>
      <c r="G22" s="5">
        <f>SUM(G4:G21)</f>
        <v>1512</v>
      </c>
      <c r="H22" s="5">
        <f>SUM(H2:H21)</f>
        <v>19107</v>
      </c>
      <c r="I22" s="8">
        <f>SUM(I2:I21)</f>
        <v>3821.4</v>
      </c>
      <c r="J22" s="8">
        <f>SUM(J2:J21)</f>
        <v>15285.6</v>
      </c>
      <c r="K22" s="8">
        <f>SUM(K2:K21)</f>
        <v>1</v>
      </c>
    </row>
    <row r="23" spans="1:11" ht="16.5" thickBot="1">
      <c r="A23" s="21" t="s">
        <v>7</v>
      </c>
      <c r="B23" s="24"/>
      <c r="C23" s="24"/>
      <c r="D23" s="25"/>
      <c r="E23" s="4">
        <f>SUM(E2:E21)/20</f>
        <v>583.5</v>
      </c>
      <c r="F23" s="4">
        <f>SUM(F2:F21)/20</f>
        <v>291.75</v>
      </c>
      <c r="G23" s="4">
        <f>G22/20</f>
        <v>75.599999999999994</v>
      </c>
      <c r="H23" s="4">
        <f>H22/20</f>
        <v>955.35</v>
      </c>
      <c r="I23" s="8">
        <f>I22/20</f>
        <v>191.07</v>
      </c>
      <c r="J23" s="8">
        <f>J22/20</f>
        <v>764.28</v>
      </c>
      <c r="K23" s="8">
        <f>K22/20</f>
        <v>0.05</v>
      </c>
    </row>
    <row r="25" spans="1:11" ht="15.75">
      <c r="A25" s="9"/>
      <c r="B25" s="13"/>
      <c r="C25" s="13"/>
    </row>
    <row r="26" spans="1:11" ht="15.75">
      <c r="A26" s="9"/>
      <c r="B26" s="14"/>
      <c r="C26" s="14"/>
    </row>
    <row r="27" spans="1:11" ht="15.75">
      <c r="A27" s="9"/>
      <c r="B27" s="14"/>
      <c r="C27" s="14"/>
    </row>
    <row r="28" spans="1:11" ht="15.75">
      <c r="A28" s="9"/>
      <c r="B28" s="14"/>
      <c r="C28" s="14"/>
    </row>
    <row r="29" spans="1:11" ht="15.75">
      <c r="A29" s="9"/>
      <c r="B29" s="14"/>
      <c r="C29" s="14"/>
    </row>
    <row r="30" spans="1:11" ht="15.75">
      <c r="A30" s="9"/>
      <c r="B30" s="14"/>
      <c r="C30" s="14"/>
    </row>
    <row r="31" spans="1:11" ht="15.75">
      <c r="A31" s="9"/>
      <c r="B31" s="14"/>
      <c r="C31" s="14"/>
    </row>
    <row r="32" spans="1:11" ht="15.75">
      <c r="A32" s="9"/>
      <c r="B32" s="14"/>
      <c r="C32" s="14"/>
    </row>
    <row r="33" spans="1:3" ht="15.75">
      <c r="A33" s="9"/>
      <c r="B33" s="15"/>
      <c r="C33" s="14"/>
    </row>
    <row r="34" spans="1:3" ht="15.75">
      <c r="A34" s="9"/>
      <c r="B34" s="15"/>
      <c r="C34" s="14"/>
    </row>
    <row r="35" spans="1:3" ht="15.75">
      <c r="A35" s="9"/>
      <c r="B35" s="15"/>
      <c r="C35" s="14"/>
    </row>
    <row r="36" spans="1:3" ht="15.75">
      <c r="A36" s="9"/>
      <c r="B36" s="15"/>
      <c r="C36" s="14"/>
    </row>
    <row r="37" spans="1:3" ht="15.75">
      <c r="A37" s="9"/>
      <c r="B37" s="15"/>
      <c r="C37" s="14"/>
    </row>
    <row r="38" spans="1:3" ht="15.75">
      <c r="A38" s="9"/>
      <c r="B38" s="15"/>
      <c r="C38" s="14"/>
    </row>
    <row r="39" spans="1:3" ht="15.75">
      <c r="A39" s="9"/>
      <c r="B39" s="15"/>
      <c r="C39" s="14"/>
    </row>
    <row r="40" spans="1:3" ht="15.75">
      <c r="A40" s="9"/>
      <c r="B40" s="15"/>
      <c r="C40" s="14"/>
    </row>
    <row r="41" spans="1:3" ht="15.75">
      <c r="A41" s="9"/>
      <c r="B41" s="15"/>
      <c r="C41" s="14"/>
    </row>
    <row r="42" spans="1:3" ht="15.75">
      <c r="A42" s="9"/>
      <c r="B42" s="15"/>
      <c r="C42" s="14"/>
    </row>
    <row r="43" spans="1:3" ht="15.75">
      <c r="A43" s="9"/>
      <c r="B43" s="15"/>
      <c r="C43" s="14"/>
    </row>
    <row r="44" spans="1:3" ht="15.75">
      <c r="A44" s="9"/>
      <c r="B44" s="15"/>
      <c r="C44" s="14"/>
    </row>
    <row r="45" spans="1:3" ht="15.75">
      <c r="A45" s="9"/>
      <c r="B45" s="15"/>
      <c r="C45" s="14"/>
    </row>
    <row r="46" spans="1:3">
      <c r="A46" s="9"/>
      <c r="B46" s="9"/>
    </row>
    <row r="47" spans="1:3">
      <c r="A47" s="9"/>
      <c r="B47" s="9"/>
    </row>
    <row r="48" spans="1:3">
      <c r="A48" s="9"/>
      <c r="B48" s="9"/>
    </row>
    <row r="49" spans="1:2">
      <c r="A49" s="9"/>
      <c r="B49" s="9"/>
    </row>
    <row r="50" spans="1:2">
      <c r="A50" s="9"/>
      <c r="B50" s="9"/>
    </row>
    <row r="51" spans="1:2">
      <c r="A51" s="9"/>
      <c r="B51" s="9"/>
    </row>
    <row r="52" spans="1:2">
      <c r="A52" s="9"/>
      <c r="B52" s="9"/>
    </row>
    <row r="53" spans="1:2">
      <c r="A53" s="9"/>
      <c r="B53" s="9"/>
    </row>
    <row r="54" spans="1:2">
      <c r="A54" s="9"/>
      <c r="B54" s="9"/>
    </row>
    <row r="55" spans="1:2">
      <c r="A55" s="9"/>
      <c r="B55" s="9"/>
    </row>
    <row r="56" spans="1:2">
      <c r="A56" s="9"/>
      <c r="B56" s="9"/>
    </row>
    <row r="57" spans="1:2">
      <c r="A57" s="9"/>
      <c r="B57" s="9"/>
    </row>
    <row r="58" spans="1:2">
      <c r="A58" s="9"/>
      <c r="B58" s="9"/>
    </row>
    <row r="59" spans="1:2">
      <c r="A59" s="9"/>
      <c r="B59" s="9"/>
    </row>
    <row r="60" spans="1:2">
      <c r="A60" s="9"/>
      <c r="B60" s="9"/>
    </row>
    <row r="61" spans="1:2">
      <c r="A61" s="9"/>
      <c r="B61" s="9"/>
    </row>
    <row r="62" spans="1:2">
      <c r="A62" s="9"/>
      <c r="B62" s="9"/>
    </row>
    <row r="63" spans="1:2">
      <c r="A63" s="9"/>
      <c r="B63" s="9"/>
    </row>
    <row r="64" spans="1:2">
      <c r="A64" s="9"/>
      <c r="B64" s="9"/>
    </row>
    <row r="65" spans="1:2">
      <c r="A65" s="9"/>
      <c r="B65" s="9"/>
    </row>
    <row r="66" spans="1:2">
      <c r="A66" s="9"/>
      <c r="B66" s="9"/>
    </row>
    <row r="67" spans="1:2">
      <c r="A67" s="9"/>
      <c r="B67" s="9"/>
    </row>
    <row r="68" spans="1:2">
      <c r="A68" s="9"/>
      <c r="B68" s="9"/>
    </row>
    <row r="69" spans="1:2">
      <c r="A69" s="9"/>
      <c r="B69" s="9"/>
    </row>
    <row r="70" spans="1:2">
      <c r="A70" s="9"/>
      <c r="B70" s="9"/>
    </row>
    <row r="71" spans="1:2">
      <c r="A71" s="9"/>
      <c r="B71" s="9"/>
    </row>
    <row r="72" spans="1:2">
      <c r="A72" s="9"/>
      <c r="B72" s="9"/>
    </row>
    <row r="73" spans="1:2">
      <c r="A73" s="9"/>
      <c r="B73" s="9"/>
    </row>
    <row r="74" spans="1:2">
      <c r="A74" s="9"/>
      <c r="B74" s="9"/>
    </row>
    <row r="75" spans="1:2">
      <c r="A75" s="9"/>
      <c r="B75" s="9"/>
    </row>
    <row r="76" spans="1:2">
      <c r="A76" s="9"/>
      <c r="B76" s="9"/>
    </row>
    <row r="77" spans="1:2">
      <c r="A77" s="9"/>
      <c r="B77" s="9"/>
    </row>
    <row r="78" spans="1:2">
      <c r="A78" s="9"/>
      <c r="B78" s="9"/>
    </row>
    <row r="79" spans="1:2">
      <c r="A79" s="9"/>
      <c r="B79" s="9"/>
    </row>
    <row r="80" spans="1:2">
      <c r="A80" s="9"/>
      <c r="B80" s="9"/>
    </row>
    <row r="81" spans="1:2">
      <c r="A81" s="9"/>
      <c r="B81" s="9"/>
    </row>
    <row r="82" spans="1:2">
      <c r="A82" s="9"/>
      <c r="B82" s="9"/>
    </row>
    <row r="83" spans="1:2">
      <c r="A83" s="9"/>
      <c r="B83" s="9"/>
    </row>
    <row r="84" spans="1:2">
      <c r="A84" s="9"/>
      <c r="B84" s="9"/>
    </row>
    <row r="85" spans="1:2">
      <c r="A85" s="9"/>
      <c r="B85" s="9"/>
    </row>
    <row r="86" spans="1:2">
      <c r="A86" s="9"/>
      <c r="B86" s="9"/>
    </row>
    <row r="87" spans="1:2">
      <c r="A87" s="9"/>
      <c r="B87" s="9"/>
    </row>
    <row r="88" spans="1:2">
      <c r="A88" s="9"/>
      <c r="B88" s="9"/>
    </row>
    <row r="89" spans="1:2">
      <c r="A89" s="9"/>
      <c r="B89" s="9"/>
    </row>
    <row r="90" spans="1:2">
      <c r="A90" s="9"/>
      <c r="B90" s="9"/>
    </row>
    <row r="91" spans="1:2">
      <c r="A91" s="9"/>
      <c r="B91" s="9"/>
    </row>
    <row r="92" spans="1:2">
      <c r="A92" s="9"/>
      <c r="B92" s="9"/>
    </row>
    <row r="93" spans="1:2">
      <c r="A93" s="9"/>
      <c r="B93" s="9"/>
    </row>
    <row r="94" spans="1:2">
      <c r="A94" s="9"/>
      <c r="B94" s="9"/>
    </row>
    <row r="95" spans="1:2">
      <c r="A95" s="9"/>
      <c r="B95" s="9"/>
    </row>
    <row r="96" spans="1:2">
      <c r="A96" s="9"/>
      <c r="B96" s="9"/>
    </row>
    <row r="97" spans="1:2">
      <c r="A97" s="9"/>
      <c r="B97" s="9"/>
    </row>
    <row r="98" spans="1:2">
      <c r="A98" s="9"/>
      <c r="B98" s="9"/>
    </row>
    <row r="99" spans="1:2">
      <c r="A99" s="9"/>
      <c r="B99" s="9"/>
    </row>
    <row r="100" spans="1:2">
      <c r="A100" s="9"/>
      <c r="B100" s="9"/>
    </row>
    <row r="101" spans="1:2">
      <c r="A101" s="9"/>
      <c r="B101" s="9"/>
    </row>
    <row r="102" spans="1:2">
      <c r="A102" s="9"/>
      <c r="B102" s="9"/>
    </row>
    <row r="103" spans="1:2">
      <c r="A103" s="9"/>
      <c r="B103" s="9"/>
    </row>
    <row r="104" spans="1:2">
      <c r="A104" s="9"/>
      <c r="B104" s="9"/>
    </row>
    <row r="105" spans="1:2">
      <c r="A105" s="9"/>
      <c r="B105" s="9"/>
    </row>
    <row r="106" spans="1:2">
      <c r="A106" s="9"/>
      <c r="B106" s="9"/>
    </row>
    <row r="107" spans="1:2">
      <c r="A107" s="9"/>
      <c r="B107" s="9"/>
    </row>
    <row r="108" spans="1:2">
      <c r="A108" s="9"/>
      <c r="B108" s="9"/>
    </row>
    <row r="109" spans="1:2">
      <c r="A109" s="9"/>
      <c r="B109" s="9"/>
    </row>
    <row r="110" spans="1:2">
      <c r="A110" s="9"/>
      <c r="B110" s="9"/>
    </row>
    <row r="111" spans="1:2">
      <c r="A111" s="9"/>
      <c r="B111" s="9"/>
    </row>
    <row r="112" spans="1:2">
      <c r="A112" s="9"/>
      <c r="B112" s="9"/>
    </row>
    <row r="113" spans="1:2">
      <c r="A113" s="9"/>
      <c r="B113" s="9"/>
    </row>
    <row r="114" spans="1:2">
      <c r="A114" s="9"/>
      <c r="B114" s="9"/>
    </row>
    <row r="115" spans="1:2">
      <c r="A115" s="9"/>
      <c r="B115" s="9"/>
    </row>
    <row r="116" spans="1:2">
      <c r="A116" s="9"/>
      <c r="B116" s="9"/>
    </row>
    <row r="117" spans="1:2">
      <c r="A117" s="9"/>
      <c r="B117" s="9"/>
    </row>
    <row r="118" spans="1:2">
      <c r="A118" s="9"/>
      <c r="B118" s="9"/>
    </row>
    <row r="119" spans="1:2">
      <c r="A119" s="9"/>
      <c r="B119" s="9"/>
    </row>
    <row r="120" spans="1:2">
      <c r="A120" s="9"/>
      <c r="B120" s="9"/>
    </row>
    <row r="121" spans="1:2">
      <c r="A121" s="9"/>
      <c r="B121" s="9"/>
    </row>
    <row r="122" spans="1:2">
      <c r="A122" s="9"/>
      <c r="B122" s="9"/>
    </row>
    <row r="123" spans="1:2">
      <c r="A123" s="9"/>
      <c r="B123" s="9"/>
    </row>
    <row r="124" spans="1:2">
      <c r="A124" s="9"/>
      <c r="B124" s="9"/>
    </row>
  </sheetData>
  <mergeCells count="2">
    <mergeCell ref="A22:D22"/>
    <mergeCell ref="A23:D23"/>
  </mergeCells>
  <pageMargins left="0.7" right="0.7" top="0.75" bottom="0.75" header="0.3" footer="0.3"/>
  <pageSetup paperSize="9" orientation="portrait" r:id="rId1"/>
  <ignoredErrors>
    <ignoredError sqref="G22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3"/>
  <sheetViews>
    <sheetView zoomScale="110" zoomScaleNormal="110" workbookViewId="0">
      <pane ySplit="1" topLeftCell="A2" activePane="bottomLeft" state="frozen"/>
      <selection pane="bottomLeft" activeCell="I10" sqref="I10"/>
    </sheetView>
  </sheetViews>
  <sheetFormatPr defaultRowHeight="15"/>
  <cols>
    <col min="2" max="2" width="13.7109375" customWidth="1"/>
    <col min="3" max="3" width="19.7109375" customWidth="1"/>
    <col min="4" max="4" width="9.28515625" customWidth="1"/>
    <col min="7" max="7" width="10.85546875" customWidth="1"/>
    <col min="10" max="10" width="10.7109375" customWidth="1"/>
    <col min="11" max="11" width="10" bestFit="1" customWidth="1"/>
  </cols>
  <sheetData>
    <row r="1" spans="1:11" ht="29.45" customHeight="1" thickBot="1">
      <c r="A1" s="1" t="s">
        <v>8</v>
      </c>
      <c r="B1" s="2" t="s">
        <v>55</v>
      </c>
      <c r="C1" s="2" t="s">
        <v>37</v>
      </c>
      <c r="D1" s="2" t="s">
        <v>0</v>
      </c>
      <c r="E1" s="2" t="s">
        <v>1</v>
      </c>
      <c r="F1" s="2" t="s">
        <v>48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</row>
    <row r="2" spans="1:11" ht="18" customHeight="1" thickBot="1">
      <c r="A2" s="3">
        <v>1</v>
      </c>
      <c r="B2" s="4" t="s">
        <v>17</v>
      </c>
      <c r="C2" s="4" t="s">
        <v>29</v>
      </c>
      <c r="D2" s="4">
        <v>0</v>
      </c>
      <c r="E2" s="4">
        <f>Январь!E2:E21 * 1.1</f>
        <v>220.00000000000003</v>
      </c>
      <c r="F2" s="4">
        <f>E2*0.5</f>
        <v>110.00000000000001</v>
      </c>
      <c r="G2" s="4">
        <f>G11</f>
        <v>99.000000000000014</v>
      </c>
      <c r="H2" s="4">
        <f>E2+F2+G2</f>
        <v>429.00000000000006</v>
      </c>
      <c r="I2" s="4">
        <f>0.2*H2</f>
        <v>85.800000000000011</v>
      </c>
      <c r="J2" s="4">
        <f>H2-I2</f>
        <v>343.20000000000005</v>
      </c>
      <c r="K2" s="17">
        <f>J2/$J$22</f>
        <v>2.0411367561626627E-2</v>
      </c>
    </row>
    <row r="3" spans="1:11" ht="19.899999999999999" customHeight="1" thickBot="1">
      <c r="A3" s="3">
        <v>2</v>
      </c>
      <c r="B3" s="4" t="s">
        <v>9</v>
      </c>
      <c r="C3" s="4" t="s">
        <v>30</v>
      </c>
      <c r="D3" s="4">
        <v>2</v>
      </c>
      <c r="E3" s="4">
        <f>Январь!E3:E22 * 1.1</f>
        <v>275</v>
      </c>
      <c r="F3" s="4">
        <f>E3*0.5</f>
        <v>137.5</v>
      </c>
      <c r="G3" s="4">
        <f>IF(D3&gt;10,0.2*E3,0)</f>
        <v>0</v>
      </c>
      <c r="H3" s="4">
        <f>E3+F3+G3</f>
        <v>412.5</v>
      </c>
      <c r="I3" s="4">
        <f>0.2*H3</f>
        <v>82.5</v>
      </c>
      <c r="J3" s="4">
        <f t="shared" ref="J3:J21" si="0">H3-I3</f>
        <v>330</v>
      </c>
      <c r="K3" s="17">
        <f>J3/16814.16</f>
        <v>1.9626314963102527E-2</v>
      </c>
    </row>
    <row r="4" spans="1:11" ht="19.149999999999999" customHeight="1" thickBot="1">
      <c r="A4" s="3">
        <v>3</v>
      </c>
      <c r="B4" s="4" t="s">
        <v>10</v>
      </c>
      <c r="C4" s="4" t="s">
        <v>31</v>
      </c>
      <c r="D4" s="4">
        <v>6</v>
      </c>
      <c r="E4" s="4">
        <f>Январь!E4:E23 * 1.1</f>
        <v>330</v>
      </c>
      <c r="F4" s="4">
        <f t="shared" ref="F4:F6" si="1">E4*0.5</f>
        <v>165</v>
      </c>
      <c r="G4" s="4">
        <f>IF(D4&gt;10,0.2*E4,0)</f>
        <v>0</v>
      </c>
      <c r="H4" s="4">
        <f>E4+F4+G4</f>
        <v>495</v>
      </c>
      <c r="I4" s="4">
        <f>0.2*H4</f>
        <v>99</v>
      </c>
      <c r="J4" s="4">
        <f t="shared" si="0"/>
        <v>396</v>
      </c>
      <c r="K4" s="17">
        <f t="shared" ref="K4" si="2">J4/16814.16</f>
        <v>2.3551577955723033E-2</v>
      </c>
    </row>
    <row r="5" spans="1:11" ht="18.600000000000001" customHeight="1" thickBot="1">
      <c r="A5" s="3">
        <v>4</v>
      </c>
      <c r="B5" s="4" t="s">
        <v>11</v>
      </c>
      <c r="C5" s="4" t="s">
        <v>32</v>
      </c>
      <c r="D5" s="4">
        <v>4</v>
      </c>
      <c r="E5" s="4">
        <f>Январь!E5:E24 * 1.1</f>
        <v>385.00000000000006</v>
      </c>
      <c r="F5" s="4">
        <f t="shared" si="1"/>
        <v>192.50000000000003</v>
      </c>
      <c r="G5" s="4">
        <f>IF(D5&gt;10,0.2*E5,0)</f>
        <v>0</v>
      </c>
      <c r="H5" s="4">
        <f t="shared" ref="H5:H21" si="3">E5+F5+G5</f>
        <v>577.50000000000011</v>
      </c>
      <c r="I5" s="4">
        <f t="shared" ref="I5:I21" si="4">0.2*H5</f>
        <v>115.50000000000003</v>
      </c>
      <c r="J5" s="4">
        <f t="shared" si="0"/>
        <v>462.00000000000011</v>
      </c>
      <c r="K5" s="17">
        <f>J5/$J$22</f>
        <v>2.7476840948343541E-2</v>
      </c>
    </row>
    <row r="6" spans="1:11" ht="21" customHeight="1" thickBot="1">
      <c r="A6" s="3">
        <v>5</v>
      </c>
      <c r="B6" s="6" t="s">
        <v>12</v>
      </c>
      <c r="C6" s="6" t="s">
        <v>33</v>
      </c>
      <c r="D6" s="6">
        <v>5</v>
      </c>
      <c r="E6" s="4">
        <f>Январь!E6:E25 * 1.1</f>
        <v>440.00000000000006</v>
      </c>
      <c r="F6" s="4">
        <f t="shared" si="1"/>
        <v>220.00000000000003</v>
      </c>
      <c r="G6" s="4">
        <f t="shared" ref="G6:G21" si="5">IF(D6&gt;10,0.2*E6,0)</f>
        <v>0</v>
      </c>
      <c r="H6" s="4">
        <f t="shared" si="3"/>
        <v>660.00000000000011</v>
      </c>
      <c r="I6" s="4">
        <f t="shared" si="4"/>
        <v>132.00000000000003</v>
      </c>
      <c r="J6" s="4">
        <f t="shared" si="0"/>
        <v>528.00000000000011</v>
      </c>
      <c r="K6" s="17">
        <f t="shared" ref="K6:K21" si="6">J6/$J$22</f>
        <v>3.1402103940964043E-2</v>
      </c>
    </row>
    <row r="7" spans="1:11" ht="16.899999999999999" customHeight="1" thickBot="1">
      <c r="A7" s="3">
        <v>6</v>
      </c>
      <c r="B7" s="7" t="s">
        <v>13</v>
      </c>
      <c r="C7" s="7" t="s">
        <v>34</v>
      </c>
      <c r="D7" s="5">
        <v>11</v>
      </c>
      <c r="E7" s="4">
        <f>Январь!E7:E26 * 1.1</f>
        <v>451.00000000000006</v>
      </c>
      <c r="F7" s="4">
        <f>E7*0.5</f>
        <v>225.50000000000003</v>
      </c>
      <c r="G7" s="4">
        <f t="shared" si="5"/>
        <v>90.200000000000017</v>
      </c>
      <c r="H7" s="4">
        <f t="shared" si="3"/>
        <v>766.70000000000016</v>
      </c>
      <c r="I7" s="4">
        <f t="shared" si="4"/>
        <v>153.34000000000003</v>
      </c>
      <c r="J7" s="4">
        <f t="shared" si="0"/>
        <v>613.36000000000013</v>
      </c>
      <c r="K7" s="17">
        <f t="shared" si="6"/>
        <v>3.6478777411419895E-2</v>
      </c>
    </row>
    <row r="8" spans="1:11" ht="16.149999999999999" customHeight="1" thickBot="1">
      <c r="A8" s="3">
        <v>7</v>
      </c>
      <c r="B8" s="3" t="s">
        <v>14</v>
      </c>
      <c r="C8" s="3" t="s">
        <v>31</v>
      </c>
      <c r="D8" s="4">
        <v>20</v>
      </c>
      <c r="E8" s="4">
        <f>Январь!E8:E27 * 1.1</f>
        <v>462.00000000000006</v>
      </c>
      <c r="F8" s="4">
        <f>E8*0.5</f>
        <v>231.00000000000003</v>
      </c>
      <c r="G8" s="4">
        <f t="shared" si="5"/>
        <v>92.40000000000002</v>
      </c>
      <c r="H8" s="4">
        <f t="shared" si="3"/>
        <v>785.40000000000009</v>
      </c>
      <c r="I8" s="4">
        <f t="shared" si="4"/>
        <v>157.08000000000004</v>
      </c>
      <c r="J8" s="4">
        <f t="shared" si="0"/>
        <v>628.32000000000005</v>
      </c>
      <c r="K8" s="17">
        <f t="shared" si="6"/>
        <v>3.7368503689747208E-2</v>
      </c>
    </row>
    <row r="9" spans="1:11" ht="16.5" thickBot="1">
      <c r="A9" s="3">
        <v>8</v>
      </c>
      <c r="B9" s="8" t="s">
        <v>15</v>
      </c>
      <c r="C9" s="8" t="s">
        <v>29</v>
      </c>
      <c r="D9" s="8">
        <v>19</v>
      </c>
      <c r="E9" s="4">
        <f>Январь!E9:E28 * 1.1</f>
        <v>473.00000000000006</v>
      </c>
      <c r="F9" s="4">
        <f t="shared" ref="F9:F15" si="7">E9*0.5</f>
        <v>236.50000000000003</v>
      </c>
      <c r="G9" s="4">
        <f t="shared" si="5"/>
        <v>94.600000000000023</v>
      </c>
      <c r="H9" s="4">
        <f t="shared" si="3"/>
        <v>804.10000000000014</v>
      </c>
      <c r="I9" s="4">
        <f t="shared" si="4"/>
        <v>160.82000000000005</v>
      </c>
      <c r="J9" s="4">
        <f t="shared" si="0"/>
        <v>643.28000000000009</v>
      </c>
      <c r="K9" s="17">
        <f t="shared" si="6"/>
        <v>3.8258229968074528E-2</v>
      </c>
    </row>
    <row r="10" spans="1:11" ht="16.5" thickBot="1">
      <c r="A10" s="3">
        <v>9</v>
      </c>
      <c r="B10" s="8" t="s">
        <v>16</v>
      </c>
      <c r="C10" s="8" t="s">
        <v>35</v>
      </c>
      <c r="D10" s="8">
        <v>15</v>
      </c>
      <c r="E10" s="4">
        <f>Январь!E10:E29 * 1.1</f>
        <v>484.00000000000006</v>
      </c>
      <c r="F10" s="4">
        <f t="shared" si="7"/>
        <v>242.00000000000003</v>
      </c>
      <c r="G10" s="4">
        <f t="shared" si="5"/>
        <v>96.800000000000011</v>
      </c>
      <c r="H10" s="4">
        <f t="shared" si="3"/>
        <v>822.80000000000018</v>
      </c>
      <c r="I10" s="4">
        <f t="shared" si="4"/>
        <v>164.56000000000006</v>
      </c>
      <c r="J10" s="4">
        <f t="shared" si="0"/>
        <v>658.24000000000012</v>
      </c>
      <c r="K10" s="17">
        <f t="shared" si="6"/>
        <v>3.9147956246401841E-2</v>
      </c>
    </row>
    <row r="11" spans="1:11" ht="16.5" thickBot="1">
      <c r="A11" s="3">
        <v>10</v>
      </c>
      <c r="B11" s="8" t="s">
        <v>18</v>
      </c>
      <c r="C11" s="8" t="s">
        <v>36</v>
      </c>
      <c r="D11" s="8">
        <v>16</v>
      </c>
      <c r="E11" s="4">
        <f>Январь!E11:E30 * 1.1</f>
        <v>495.00000000000006</v>
      </c>
      <c r="F11" s="4">
        <f t="shared" si="7"/>
        <v>247.50000000000003</v>
      </c>
      <c r="G11" s="4">
        <f t="shared" si="5"/>
        <v>99.000000000000014</v>
      </c>
      <c r="H11" s="4">
        <f t="shared" si="3"/>
        <v>841.50000000000011</v>
      </c>
      <c r="I11" s="4">
        <f t="shared" si="4"/>
        <v>168.30000000000004</v>
      </c>
      <c r="J11" s="4">
        <f t="shared" si="0"/>
        <v>673.2</v>
      </c>
      <c r="K11" s="17">
        <f t="shared" si="6"/>
        <v>4.0037682524729154E-2</v>
      </c>
    </row>
    <row r="12" spans="1:11" ht="16.5" thickBot="1">
      <c r="A12" s="3">
        <v>11</v>
      </c>
      <c r="B12" s="8" t="s">
        <v>19</v>
      </c>
      <c r="C12" s="8" t="s">
        <v>38</v>
      </c>
      <c r="D12" s="8">
        <v>22</v>
      </c>
      <c r="E12" s="4">
        <f>Январь!E12:E31 * 1.1</f>
        <v>693</v>
      </c>
      <c r="F12" s="8">
        <f>E12*0.5</f>
        <v>346.5</v>
      </c>
      <c r="G12" s="4">
        <f t="shared" si="5"/>
        <v>138.6</v>
      </c>
      <c r="H12" s="4">
        <f t="shared" si="3"/>
        <v>1178.0999999999999</v>
      </c>
      <c r="I12" s="4">
        <f t="shared" si="4"/>
        <v>235.62</v>
      </c>
      <c r="J12" s="4">
        <f t="shared" si="0"/>
        <v>942.4799999999999</v>
      </c>
      <c r="K12" s="17">
        <f t="shared" si="6"/>
        <v>5.6052755534620802E-2</v>
      </c>
    </row>
    <row r="13" spans="1:11" ht="16.5" thickBot="1">
      <c r="A13" s="3">
        <v>12</v>
      </c>
      <c r="B13" s="8" t="s">
        <v>20</v>
      </c>
      <c r="C13" s="8" t="s">
        <v>39</v>
      </c>
      <c r="D13" s="8">
        <v>25</v>
      </c>
      <c r="E13" s="4">
        <f>Январь!E13:E32 * 1.1</f>
        <v>748.00000000000011</v>
      </c>
      <c r="F13" s="4">
        <f t="shared" si="7"/>
        <v>374.00000000000006</v>
      </c>
      <c r="G13" s="4">
        <f t="shared" si="5"/>
        <v>149.60000000000002</v>
      </c>
      <c r="H13" s="4">
        <f t="shared" si="3"/>
        <v>1271.6000000000004</v>
      </c>
      <c r="I13" s="4">
        <f t="shared" si="4"/>
        <v>254.32000000000008</v>
      </c>
      <c r="J13" s="4">
        <f t="shared" si="0"/>
        <v>1017.2800000000003</v>
      </c>
      <c r="K13" s="17">
        <f t="shared" si="6"/>
        <v>6.0501386926257401E-2</v>
      </c>
    </row>
    <row r="14" spans="1:11" ht="16.5" thickBot="1">
      <c r="A14" s="3">
        <v>13</v>
      </c>
      <c r="B14" s="8" t="s">
        <v>21</v>
      </c>
      <c r="C14" s="8" t="s">
        <v>40</v>
      </c>
      <c r="D14" s="8">
        <v>30</v>
      </c>
      <c r="E14" s="4">
        <f>Январь!E14:E33 * 1.1</f>
        <v>803.00000000000011</v>
      </c>
      <c r="F14" s="8">
        <f t="shared" si="7"/>
        <v>401.50000000000006</v>
      </c>
      <c r="G14" s="4">
        <f t="shared" si="5"/>
        <v>160.60000000000002</v>
      </c>
      <c r="H14" s="4">
        <f t="shared" si="3"/>
        <v>1365.1000000000004</v>
      </c>
      <c r="I14" s="4">
        <f t="shared" si="4"/>
        <v>273.0200000000001</v>
      </c>
      <c r="J14" s="4">
        <f t="shared" si="0"/>
        <v>1092.0800000000004</v>
      </c>
      <c r="K14" s="17">
        <f t="shared" si="6"/>
        <v>6.4950018317893973E-2</v>
      </c>
    </row>
    <row r="15" spans="1:11" ht="16.5" thickBot="1">
      <c r="A15" s="3">
        <v>14</v>
      </c>
      <c r="B15" s="8" t="s">
        <v>22</v>
      </c>
      <c r="C15" s="8" t="s">
        <v>41</v>
      </c>
      <c r="D15" s="8">
        <v>24</v>
      </c>
      <c r="E15" s="4">
        <f>Январь!E15:E34 * 1.1</f>
        <v>858.00000000000011</v>
      </c>
      <c r="F15" s="4">
        <f t="shared" si="7"/>
        <v>429.00000000000006</v>
      </c>
      <c r="G15" s="4">
        <f t="shared" si="5"/>
        <v>171.60000000000002</v>
      </c>
      <c r="H15" s="4">
        <f t="shared" si="3"/>
        <v>1458.6000000000004</v>
      </c>
      <c r="I15" s="4">
        <f t="shared" si="4"/>
        <v>291.72000000000008</v>
      </c>
      <c r="J15" s="4">
        <f t="shared" si="0"/>
        <v>1166.8800000000003</v>
      </c>
      <c r="K15" s="17">
        <f t="shared" si="6"/>
        <v>6.9398649709530538E-2</v>
      </c>
    </row>
    <row r="16" spans="1:11" ht="16.5" thickBot="1">
      <c r="A16" s="3">
        <v>15</v>
      </c>
      <c r="B16" s="8" t="s">
        <v>23</v>
      </c>
      <c r="C16" s="8" t="s">
        <v>42</v>
      </c>
      <c r="D16" s="8">
        <v>25</v>
      </c>
      <c r="E16" s="4">
        <f>Январь!E16:E35 * 1.1</f>
        <v>880.00000000000011</v>
      </c>
      <c r="F16" s="8">
        <f>E16*0.5</f>
        <v>440.00000000000006</v>
      </c>
      <c r="G16" s="4">
        <f t="shared" si="5"/>
        <v>176.00000000000003</v>
      </c>
      <c r="H16" s="4">
        <f t="shared" si="3"/>
        <v>1496.0000000000002</v>
      </c>
      <c r="I16" s="4">
        <f t="shared" si="4"/>
        <v>299.20000000000005</v>
      </c>
      <c r="J16" s="4">
        <f t="shared" si="0"/>
        <v>1196.8000000000002</v>
      </c>
      <c r="K16" s="17">
        <f t="shared" si="6"/>
        <v>7.1178102266185164E-2</v>
      </c>
    </row>
    <row r="17" spans="1:11" ht="16.5" thickBot="1">
      <c r="A17" s="3">
        <v>16</v>
      </c>
      <c r="B17" s="8" t="s">
        <v>24</v>
      </c>
      <c r="C17" s="8" t="s">
        <v>43</v>
      </c>
      <c r="D17" s="8">
        <v>1</v>
      </c>
      <c r="E17" s="4">
        <f>Январь!E17:E36 * 1.1</f>
        <v>902.00000000000011</v>
      </c>
      <c r="F17" s="8">
        <f>E17*0.5</f>
        <v>451.00000000000006</v>
      </c>
      <c r="G17" s="4">
        <f t="shared" si="5"/>
        <v>0</v>
      </c>
      <c r="H17" s="4">
        <f t="shared" si="3"/>
        <v>1353.0000000000002</v>
      </c>
      <c r="I17" s="4">
        <f t="shared" si="4"/>
        <v>270.60000000000008</v>
      </c>
      <c r="J17" s="4">
        <f t="shared" si="0"/>
        <v>1082.4000000000001</v>
      </c>
      <c r="K17" s="17">
        <f t="shared" si="6"/>
        <v>6.4374313078976286E-2</v>
      </c>
    </row>
    <row r="18" spans="1:11" ht="16.5" thickBot="1">
      <c r="A18" s="3">
        <v>17</v>
      </c>
      <c r="B18" s="8" t="s">
        <v>25</v>
      </c>
      <c r="C18" s="8" t="s">
        <v>44</v>
      </c>
      <c r="D18" s="8">
        <v>5</v>
      </c>
      <c r="E18" s="4">
        <f>Январь!E18:E37 * 1.1</f>
        <v>935.00000000000011</v>
      </c>
      <c r="F18" s="8">
        <f t="shared" ref="F18:F21" si="8">E18*0.5</f>
        <v>467.50000000000006</v>
      </c>
      <c r="G18" s="4">
        <f t="shared" si="5"/>
        <v>0</v>
      </c>
      <c r="H18" s="4">
        <f t="shared" si="3"/>
        <v>1402.5000000000002</v>
      </c>
      <c r="I18" s="4">
        <f t="shared" si="4"/>
        <v>280.50000000000006</v>
      </c>
      <c r="J18" s="4">
        <f t="shared" si="0"/>
        <v>1122.0000000000002</v>
      </c>
      <c r="K18" s="17">
        <f t="shared" si="6"/>
        <v>6.6729470874548599E-2</v>
      </c>
    </row>
    <row r="19" spans="1:11" ht="16.5" thickBot="1">
      <c r="A19" s="3">
        <v>18</v>
      </c>
      <c r="B19" s="8" t="s">
        <v>26</v>
      </c>
      <c r="C19" s="8" t="s">
        <v>45</v>
      </c>
      <c r="D19" s="8">
        <v>27</v>
      </c>
      <c r="E19" s="4">
        <f>Январь!E19:E38 * 1.1</f>
        <v>968.00000000000011</v>
      </c>
      <c r="F19" s="8">
        <f t="shared" si="8"/>
        <v>484.00000000000006</v>
      </c>
      <c r="G19" s="4">
        <f t="shared" si="5"/>
        <v>193.60000000000002</v>
      </c>
      <c r="H19" s="4">
        <f t="shared" si="3"/>
        <v>1645.6000000000004</v>
      </c>
      <c r="I19" s="4">
        <f t="shared" si="4"/>
        <v>329.12000000000012</v>
      </c>
      <c r="J19" s="4">
        <f t="shared" si="0"/>
        <v>1316.4800000000002</v>
      </c>
      <c r="K19" s="17">
        <f t="shared" si="6"/>
        <v>7.8295912492803682E-2</v>
      </c>
    </row>
    <row r="20" spans="1:11" ht="16.5" thickBot="1">
      <c r="A20" s="3">
        <v>19</v>
      </c>
      <c r="B20" s="8" t="s">
        <v>27</v>
      </c>
      <c r="C20" s="8" t="s">
        <v>46</v>
      </c>
      <c r="D20" s="8">
        <v>45</v>
      </c>
      <c r="E20" s="4">
        <f>Январь!E20:E39 * 1.1</f>
        <v>1001.0000000000001</v>
      </c>
      <c r="F20" s="8">
        <f t="shared" si="8"/>
        <v>500.50000000000006</v>
      </c>
      <c r="G20" s="4">
        <f t="shared" si="5"/>
        <v>200.20000000000005</v>
      </c>
      <c r="H20" s="4">
        <f t="shared" si="3"/>
        <v>1701.7000000000003</v>
      </c>
      <c r="I20" s="4">
        <f t="shared" si="4"/>
        <v>340.34000000000009</v>
      </c>
      <c r="J20" s="4">
        <f t="shared" si="0"/>
        <v>1361.3600000000001</v>
      </c>
      <c r="K20" s="17">
        <f t="shared" si="6"/>
        <v>8.0965091327785621E-2</v>
      </c>
    </row>
    <row r="21" spans="1:11" ht="16.5" thickBot="1">
      <c r="A21" s="3">
        <v>20</v>
      </c>
      <c r="B21" s="8" t="s">
        <v>28</v>
      </c>
      <c r="C21" s="8" t="s">
        <v>47</v>
      </c>
      <c r="D21" s="8">
        <v>4</v>
      </c>
      <c r="E21" s="4">
        <f>Январь!E21:E40 * 1.1</f>
        <v>1034</v>
      </c>
      <c r="F21" s="8">
        <f t="shared" si="8"/>
        <v>517</v>
      </c>
      <c r="G21" s="4">
        <f t="shared" si="5"/>
        <v>0</v>
      </c>
      <c r="H21" s="4">
        <f t="shared" si="3"/>
        <v>1551</v>
      </c>
      <c r="I21" s="4">
        <f t="shared" si="4"/>
        <v>310.20000000000005</v>
      </c>
      <c r="J21" s="4">
        <f t="shared" si="0"/>
        <v>1240.8</v>
      </c>
      <c r="K21" s="17">
        <f t="shared" si="6"/>
        <v>7.3794944261265483E-2</v>
      </c>
    </row>
    <row r="22" spans="1:11" ht="16.5" thickBot="1">
      <c r="A22" s="18" t="s">
        <v>49</v>
      </c>
      <c r="B22" s="19"/>
      <c r="C22" s="19"/>
      <c r="D22" s="20"/>
      <c r="E22" s="5">
        <f>SUM(E2:E21)</f>
        <v>12837</v>
      </c>
      <c r="F22" s="5">
        <f>SUM(F2:F21)</f>
        <v>6418.5</v>
      </c>
      <c r="G22" s="5">
        <f>SUM(G4:G21)</f>
        <v>1663.2</v>
      </c>
      <c r="H22" s="5">
        <f>SUM(H2:H21)</f>
        <v>21017.7</v>
      </c>
      <c r="I22" s="8">
        <f>SUM(I2:I21)</f>
        <v>4203.5400000000009</v>
      </c>
      <c r="J22" s="8">
        <f>SUM(J2:J21)</f>
        <v>16814.160000000003</v>
      </c>
      <c r="K22" s="8">
        <f>SUM(K2:K21)</f>
        <v>0.99999999999999978</v>
      </c>
    </row>
    <row r="23" spans="1:11" ht="16.5" thickBot="1">
      <c r="A23" s="21" t="s">
        <v>7</v>
      </c>
      <c r="B23" s="22"/>
      <c r="C23" s="22"/>
      <c r="D23" s="23"/>
      <c r="E23" s="4">
        <f>SUM(E2:E21)/20</f>
        <v>641.85</v>
      </c>
      <c r="F23" s="4">
        <f>SUM(F2:F21)/20</f>
        <v>320.92500000000001</v>
      </c>
      <c r="G23" s="4">
        <f>G22/20</f>
        <v>83.16</v>
      </c>
      <c r="H23" s="4">
        <f>H22/20</f>
        <v>1050.885</v>
      </c>
      <c r="I23" s="8">
        <f>I22/20</f>
        <v>210.17700000000005</v>
      </c>
      <c r="J23" s="8">
        <f>J22/20</f>
        <v>840.7080000000002</v>
      </c>
      <c r="K23" s="8">
        <f>K22/20</f>
        <v>4.9999999999999989E-2</v>
      </c>
    </row>
  </sheetData>
  <mergeCells count="2">
    <mergeCell ref="A22:D22"/>
    <mergeCell ref="A23:D23"/>
  </mergeCells>
  <pageMargins left="0.7" right="0.7" top="0.75" bottom="0.75" header="0.3" footer="0.3"/>
  <ignoredErrors>
    <ignoredError sqref="G22 K5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23"/>
  <sheetViews>
    <sheetView tabSelected="1" zoomScaleNormal="100" workbookViewId="0">
      <selection activeCell="I6" sqref="I6"/>
    </sheetView>
  </sheetViews>
  <sheetFormatPr defaultRowHeight="15"/>
  <cols>
    <col min="2" max="2" width="18" customWidth="1"/>
    <col min="3" max="3" width="22" customWidth="1"/>
    <col min="7" max="7" width="12.140625" customWidth="1"/>
    <col min="10" max="10" width="10.42578125" customWidth="1"/>
    <col min="11" max="11" width="9.5703125" bestFit="1" customWidth="1"/>
  </cols>
  <sheetData>
    <row r="1" spans="1:11" ht="32.25" thickBot="1">
      <c r="A1" s="1" t="s">
        <v>8</v>
      </c>
      <c r="B1" s="2" t="s">
        <v>55</v>
      </c>
      <c r="C1" s="2" t="s">
        <v>37</v>
      </c>
      <c r="D1" s="2" t="s">
        <v>0</v>
      </c>
      <c r="E1" s="2" t="s">
        <v>1</v>
      </c>
      <c r="F1" s="2" t="s">
        <v>48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</row>
    <row r="2" spans="1:11" ht="16.5" thickBot="1">
      <c r="A2" s="3">
        <v>1</v>
      </c>
      <c r="B2" s="4" t="s">
        <v>17</v>
      </c>
      <c r="C2" s="4" t="s">
        <v>29</v>
      </c>
      <c r="D2" s="4">
        <v>0</v>
      </c>
      <c r="E2" s="4">
        <f>Февраль!E2:E21 * 1.05</f>
        <v>231.00000000000003</v>
      </c>
      <c r="F2" s="4">
        <f>E2*0.5</f>
        <v>115.50000000000001</v>
      </c>
      <c r="G2" s="4">
        <f>G11</f>
        <v>103.95000000000003</v>
      </c>
      <c r="H2" s="4">
        <f>E2+F2+G2</f>
        <v>450.4500000000001</v>
      </c>
      <c r="I2" s="4">
        <f>0.2*H2</f>
        <v>90.090000000000032</v>
      </c>
      <c r="J2" s="4">
        <f>H2-I2</f>
        <v>360.36000000000007</v>
      </c>
      <c r="K2" s="16">
        <f>J2/$J$22</f>
        <v>2.041136756162663E-2</v>
      </c>
    </row>
    <row r="3" spans="1:11" ht="16.5" thickBot="1">
      <c r="A3" s="3">
        <v>2</v>
      </c>
      <c r="B3" s="4" t="s">
        <v>9</v>
      </c>
      <c r="C3" s="4" t="s">
        <v>30</v>
      </c>
      <c r="D3" s="4">
        <v>2</v>
      </c>
      <c r="E3" s="4">
        <f>Февраль!E3:E22 * 1.05</f>
        <v>288.75</v>
      </c>
      <c r="F3" s="4">
        <f>E3*0.5</f>
        <v>144.375</v>
      </c>
      <c r="G3" s="4">
        <f>IF(D3&gt;10,0.2*E3,0)</f>
        <v>0</v>
      </c>
      <c r="H3" s="4">
        <f>E3+F3+G3</f>
        <v>433.125</v>
      </c>
      <c r="I3" s="4">
        <f>0.2*H3</f>
        <v>86.625</v>
      </c>
      <c r="J3" s="4">
        <f t="shared" ref="J3:J21" si="0">H3-I3</f>
        <v>346.5</v>
      </c>
      <c r="K3" s="16">
        <f t="shared" ref="K3:K21" si="1">J3/$J$22</f>
        <v>1.9626314963102524E-2</v>
      </c>
    </row>
    <row r="4" spans="1:11" ht="16.5" thickBot="1">
      <c r="A4" s="3">
        <v>3</v>
      </c>
      <c r="B4" s="4" t="s">
        <v>10</v>
      </c>
      <c r="C4" s="4" t="s">
        <v>31</v>
      </c>
      <c r="D4" s="4">
        <v>6</v>
      </c>
      <c r="E4" s="4">
        <f>Февраль!E4:E23 * 1.05</f>
        <v>346.5</v>
      </c>
      <c r="F4" s="4">
        <f t="shared" ref="F4:F6" si="2">E4*0.5</f>
        <v>173.25</v>
      </c>
      <c r="G4" s="4">
        <f>IF(D4&gt;10,0.2*E4,0)</f>
        <v>0</v>
      </c>
      <c r="H4" s="4">
        <f>E4+F4+G4</f>
        <v>519.75</v>
      </c>
      <c r="I4" s="4">
        <f>0.2*H4</f>
        <v>103.95</v>
      </c>
      <c r="J4" s="4">
        <f t="shared" si="0"/>
        <v>415.8</v>
      </c>
      <c r="K4" s="16">
        <f t="shared" si="1"/>
        <v>2.3551577955723033E-2</v>
      </c>
    </row>
    <row r="5" spans="1:11" ht="16.5" thickBot="1">
      <c r="A5" s="3">
        <v>4</v>
      </c>
      <c r="B5" s="4" t="s">
        <v>11</v>
      </c>
      <c r="C5" s="4" t="s">
        <v>32</v>
      </c>
      <c r="D5" s="4">
        <v>4</v>
      </c>
      <c r="E5" s="4">
        <f>Февраль!E5:E24 * 1.05</f>
        <v>404.25000000000006</v>
      </c>
      <c r="F5" s="4">
        <f t="shared" si="2"/>
        <v>202.12500000000003</v>
      </c>
      <c r="G5" s="4">
        <f>IF(D5&gt;10,0.2*E5,0)</f>
        <v>0</v>
      </c>
      <c r="H5" s="4">
        <f t="shared" ref="H5:H21" si="3">E5+F5+G5</f>
        <v>606.37500000000011</v>
      </c>
      <c r="I5" s="4">
        <f t="shared" ref="I5:I21" si="4">0.2*H5</f>
        <v>121.27500000000003</v>
      </c>
      <c r="J5" s="4">
        <f t="shared" si="0"/>
        <v>485.10000000000008</v>
      </c>
      <c r="K5" s="16">
        <f t="shared" si="1"/>
        <v>2.7476840948343541E-2</v>
      </c>
    </row>
    <row r="6" spans="1:11" ht="16.5" thickBot="1">
      <c r="A6" s="3">
        <v>5</v>
      </c>
      <c r="B6" s="6" t="s">
        <v>12</v>
      </c>
      <c r="C6" s="6" t="s">
        <v>33</v>
      </c>
      <c r="D6" s="6">
        <v>5</v>
      </c>
      <c r="E6" s="4">
        <f>Февраль!E6:E25 * 1.05</f>
        <v>462.00000000000006</v>
      </c>
      <c r="F6" s="4">
        <f t="shared" si="2"/>
        <v>231.00000000000003</v>
      </c>
      <c r="G6" s="4">
        <f t="shared" ref="G6:G21" si="5">IF(D6&gt;10,0.2*E6,0)</f>
        <v>0</v>
      </c>
      <c r="H6" s="4">
        <f t="shared" si="3"/>
        <v>693.00000000000011</v>
      </c>
      <c r="I6" s="4">
        <f t="shared" si="4"/>
        <v>138.60000000000002</v>
      </c>
      <c r="J6" s="4">
        <f t="shared" si="0"/>
        <v>554.40000000000009</v>
      </c>
      <c r="K6" s="16">
        <f t="shared" si="1"/>
        <v>3.1402103940964043E-2</v>
      </c>
    </row>
    <row r="7" spans="1:11" ht="16.5" thickBot="1">
      <c r="A7" s="3">
        <v>6</v>
      </c>
      <c r="B7" s="7" t="s">
        <v>13</v>
      </c>
      <c r="C7" s="7" t="s">
        <v>34</v>
      </c>
      <c r="D7" s="5">
        <v>11</v>
      </c>
      <c r="E7" s="4">
        <f>Февраль!E7:E26 * 1.05</f>
        <v>473.55000000000007</v>
      </c>
      <c r="F7" s="4">
        <f>E7*0.5</f>
        <v>236.77500000000003</v>
      </c>
      <c r="G7" s="4">
        <f t="shared" si="5"/>
        <v>94.710000000000022</v>
      </c>
      <c r="H7" s="4">
        <f t="shared" si="3"/>
        <v>805.03500000000008</v>
      </c>
      <c r="I7" s="4">
        <f t="shared" si="4"/>
        <v>161.00700000000003</v>
      </c>
      <c r="J7" s="4">
        <f t="shared" si="0"/>
        <v>644.02800000000002</v>
      </c>
      <c r="K7" s="16">
        <f t="shared" si="1"/>
        <v>3.6478777411419895E-2</v>
      </c>
    </row>
    <row r="8" spans="1:11" ht="16.5" thickBot="1">
      <c r="A8" s="3">
        <v>7</v>
      </c>
      <c r="B8" s="3" t="s">
        <v>14</v>
      </c>
      <c r="C8" s="3" t="s">
        <v>31</v>
      </c>
      <c r="D8" s="4">
        <v>20</v>
      </c>
      <c r="E8" s="4">
        <f>Февраль!E8:E27 * 1.05</f>
        <v>485.10000000000008</v>
      </c>
      <c r="F8" s="4">
        <f>E8*0.5</f>
        <v>242.55000000000004</v>
      </c>
      <c r="G8" s="4">
        <f t="shared" si="5"/>
        <v>97.020000000000024</v>
      </c>
      <c r="H8" s="4">
        <f t="shared" si="3"/>
        <v>824.67000000000007</v>
      </c>
      <c r="I8" s="4">
        <f t="shared" si="4"/>
        <v>164.93400000000003</v>
      </c>
      <c r="J8" s="4">
        <f t="shared" si="0"/>
        <v>659.7360000000001</v>
      </c>
      <c r="K8" s="16">
        <f t="shared" si="1"/>
        <v>3.7368503689747215E-2</v>
      </c>
    </row>
    <row r="9" spans="1:11" ht="16.5" thickBot="1">
      <c r="A9" s="3">
        <v>8</v>
      </c>
      <c r="B9" s="8" t="s">
        <v>15</v>
      </c>
      <c r="C9" s="8" t="s">
        <v>29</v>
      </c>
      <c r="D9" s="8">
        <v>19</v>
      </c>
      <c r="E9" s="4">
        <f>Февраль!E9:E28 * 1.05</f>
        <v>496.65000000000009</v>
      </c>
      <c r="F9" s="4">
        <f t="shared" ref="F9:F15" si="6">E9*0.5</f>
        <v>248.32500000000005</v>
      </c>
      <c r="G9" s="4">
        <f t="shared" si="5"/>
        <v>99.330000000000027</v>
      </c>
      <c r="H9" s="4">
        <f t="shared" si="3"/>
        <v>844.30500000000018</v>
      </c>
      <c r="I9" s="4">
        <f t="shared" si="4"/>
        <v>168.86100000000005</v>
      </c>
      <c r="J9" s="4">
        <f t="shared" si="0"/>
        <v>675.44400000000019</v>
      </c>
      <c r="K9" s="16">
        <f t="shared" si="1"/>
        <v>3.8258229968074535E-2</v>
      </c>
    </row>
    <row r="10" spans="1:11" ht="16.5" thickBot="1">
      <c r="A10" s="3">
        <v>9</v>
      </c>
      <c r="B10" s="8" t="s">
        <v>16</v>
      </c>
      <c r="C10" s="8" t="s">
        <v>35</v>
      </c>
      <c r="D10" s="8">
        <v>15</v>
      </c>
      <c r="E10" s="4">
        <f>Февраль!E10:E29 * 1.05</f>
        <v>508.2000000000001</v>
      </c>
      <c r="F10" s="4">
        <f t="shared" si="6"/>
        <v>254.10000000000005</v>
      </c>
      <c r="G10" s="4">
        <f t="shared" si="5"/>
        <v>101.64000000000003</v>
      </c>
      <c r="H10" s="4">
        <f t="shared" si="3"/>
        <v>863.94000000000017</v>
      </c>
      <c r="I10" s="4">
        <f t="shared" si="4"/>
        <v>172.78800000000004</v>
      </c>
      <c r="J10" s="4">
        <f t="shared" si="0"/>
        <v>691.15200000000016</v>
      </c>
      <c r="K10" s="16">
        <f t="shared" si="1"/>
        <v>3.9147956246401848E-2</v>
      </c>
    </row>
    <row r="11" spans="1:11" ht="16.5" thickBot="1">
      <c r="A11" s="3">
        <v>10</v>
      </c>
      <c r="B11" s="8" t="s">
        <v>18</v>
      </c>
      <c r="C11" s="8" t="s">
        <v>36</v>
      </c>
      <c r="D11" s="8">
        <v>16</v>
      </c>
      <c r="E11" s="4">
        <f>Февраль!E11:E30 * 1.05</f>
        <v>519.75000000000011</v>
      </c>
      <c r="F11" s="4">
        <f t="shared" si="6"/>
        <v>259.87500000000006</v>
      </c>
      <c r="G11" s="4">
        <f t="shared" si="5"/>
        <v>103.95000000000003</v>
      </c>
      <c r="H11" s="4">
        <f t="shared" si="3"/>
        <v>883.57500000000027</v>
      </c>
      <c r="I11" s="4">
        <f t="shared" si="4"/>
        <v>176.71500000000006</v>
      </c>
      <c r="J11" s="4">
        <f t="shared" si="0"/>
        <v>706.86000000000024</v>
      </c>
      <c r="K11" s="16">
        <f t="shared" si="1"/>
        <v>4.0037682524729168E-2</v>
      </c>
    </row>
    <row r="12" spans="1:11" ht="16.5" thickBot="1">
      <c r="A12" s="3">
        <v>11</v>
      </c>
      <c r="B12" s="8" t="s">
        <v>19</v>
      </c>
      <c r="C12" s="8" t="s">
        <v>38</v>
      </c>
      <c r="D12" s="8">
        <v>22</v>
      </c>
      <c r="E12" s="4">
        <f>Февраль!E12:E31 * 1.05</f>
        <v>727.65</v>
      </c>
      <c r="F12" s="8">
        <f>E12*0.5</f>
        <v>363.82499999999999</v>
      </c>
      <c r="G12" s="4">
        <f t="shared" si="5"/>
        <v>145.53</v>
      </c>
      <c r="H12" s="4">
        <f t="shared" si="3"/>
        <v>1237.0049999999999</v>
      </c>
      <c r="I12" s="4">
        <f t="shared" si="4"/>
        <v>247.40099999999998</v>
      </c>
      <c r="J12" s="4">
        <f t="shared" si="0"/>
        <v>989.60399999999993</v>
      </c>
      <c r="K12" s="16">
        <f t="shared" si="1"/>
        <v>5.6052755534620809E-2</v>
      </c>
    </row>
    <row r="13" spans="1:11" ht="16.5" thickBot="1">
      <c r="A13" s="3">
        <v>12</v>
      </c>
      <c r="B13" s="8" t="s">
        <v>20</v>
      </c>
      <c r="C13" s="8" t="s">
        <v>39</v>
      </c>
      <c r="D13" s="8">
        <v>25</v>
      </c>
      <c r="E13" s="4">
        <f>Февраль!E13:E32 * 1.05</f>
        <v>785.4000000000002</v>
      </c>
      <c r="F13" s="4">
        <f t="shared" si="6"/>
        <v>392.7000000000001</v>
      </c>
      <c r="G13" s="4">
        <f t="shared" si="5"/>
        <v>157.08000000000004</v>
      </c>
      <c r="H13" s="4">
        <f t="shared" si="3"/>
        <v>1335.1800000000003</v>
      </c>
      <c r="I13" s="4">
        <f t="shared" si="4"/>
        <v>267.03600000000006</v>
      </c>
      <c r="J13" s="4">
        <f t="shared" si="0"/>
        <v>1068.1440000000002</v>
      </c>
      <c r="K13" s="16">
        <f t="shared" si="1"/>
        <v>6.0501386926257401E-2</v>
      </c>
    </row>
    <row r="14" spans="1:11" ht="16.5" thickBot="1">
      <c r="A14" s="3">
        <v>13</v>
      </c>
      <c r="B14" s="8" t="s">
        <v>21</v>
      </c>
      <c r="C14" s="8" t="s">
        <v>40</v>
      </c>
      <c r="D14" s="8">
        <v>30</v>
      </c>
      <c r="E14" s="4">
        <f>Февраль!E14:E33 * 1.05</f>
        <v>843.1500000000002</v>
      </c>
      <c r="F14" s="8">
        <f t="shared" si="6"/>
        <v>421.5750000000001</v>
      </c>
      <c r="G14" s="4">
        <f t="shared" si="5"/>
        <v>168.63000000000005</v>
      </c>
      <c r="H14" s="4">
        <f t="shared" si="3"/>
        <v>1433.3550000000005</v>
      </c>
      <c r="I14" s="4">
        <f t="shared" si="4"/>
        <v>286.67100000000011</v>
      </c>
      <c r="J14" s="4">
        <f t="shared" si="0"/>
        <v>1146.6840000000004</v>
      </c>
      <c r="K14" s="16">
        <f t="shared" si="1"/>
        <v>6.4950018317893987E-2</v>
      </c>
    </row>
    <row r="15" spans="1:11" ht="16.5" thickBot="1">
      <c r="A15" s="3">
        <v>14</v>
      </c>
      <c r="B15" s="8" t="s">
        <v>22</v>
      </c>
      <c r="C15" s="8" t="s">
        <v>41</v>
      </c>
      <c r="D15" s="8">
        <v>24</v>
      </c>
      <c r="E15" s="4">
        <f>Февраль!E15:E34 * 1.05</f>
        <v>900.9000000000002</v>
      </c>
      <c r="F15" s="4">
        <f t="shared" si="6"/>
        <v>450.4500000000001</v>
      </c>
      <c r="G15" s="4">
        <f t="shared" si="5"/>
        <v>180.18000000000006</v>
      </c>
      <c r="H15" s="4">
        <f t="shared" si="3"/>
        <v>1531.5300000000004</v>
      </c>
      <c r="I15" s="4">
        <f t="shared" si="4"/>
        <v>306.3060000000001</v>
      </c>
      <c r="J15" s="4">
        <f t="shared" si="0"/>
        <v>1225.2240000000004</v>
      </c>
      <c r="K15" s="16">
        <f t="shared" si="1"/>
        <v>6.9398649709530552E-2</v>
      </c>
    </row>
    <row r="16" spans="1:11" ht="16.5" thickBot="1">
      <c r="A16" s="3">
        <v>15</v>
      </c>
      <c r="B16" s="8" t="s">
        <v>23</v>
      </c>
      <c r="C16" s="8" t="s">
        <v>42</v>
      </c>
      <c r="D16" s="8">
        <v>25</v>
      </c>
      <c r="E16" s="4">
        <f>Февраль!E16:E35 * 1.05</f>
        <v>924.00000000000011</v>
      </c>
      <c r="F16" s="8">
        <f>E16*0.5</f>
        <v>462.00000000000006</v>
      </c>
      <c r="G16" s="4">
        <f t="shared" si="5"/>
        <v>184.80000000000004</v>
      </c>
      <c r="H16" s="4">
        <f t="shared" si="3"/>
        <v>1570.8000000000002</v>
      </c>
      <c r="I16" s="4">
        <f t="shared" si="4"/>
        <v>314.16000000000008</v>
      </c>
      <c r="J16" s="4">
        <f t="shared" si="0"/>
        <v>1256.6400000000001</v>
      </c>
      <c r="K16" s="16">
        <f t="shared" si="1"/>
        <v>7.1178102266185164E-2</v>
      </c>
    </row>
    <row r="17" spans="1:11" ht="16.5" thickBot="1">
      <c r="A17" s="3">
        <v>16</v>
      </c>
      <c r="B17" s="8" t="s">
        <v>24</v>
      </c>
      <c r="C17" s="8" t="s">
        <v>43</v>
      </c>
      <c r="D17" s="8">
        <v>1</v>
      </c>
      <c r="E17" s="4">
        <f>Февраль!E17:E36 * 1.05</f>
        <v>947.10000000000014</v>
      </c>
      <c r="F17" s="8">
        <f>E17*0.5</f>
        <v>473.55000000000007</v>
      </c>
      <c r="G17" s="4">
        <f t="shared" si="5"/>
        <v>0</v>
      </c>
      <c r="H17" s="4">
        <f t="shared" si="3"/>
        <v>1420.65</v>
      </c>
      <c r="I17" s="4">
        <f t="shared" si="4"/>
        <v>284.13000000000005</v>
      </c>
      <c r="J17" s="4">
        <f t="shared" si="0"/>
        <v>1136.52</v>
      </c>
      <c r="K17" s="16">
        <f t="shared" si="1"/>
        <v>6.4374313078976286E-2</v>
      </c>
    </row>
    <row r="18" spans="1:11" ht="16.5" thickBot="1">
      <c r="A18" s="3">
        <v>17</v>
      </c>
      <c r="B18" s="8" t="s">
        <v>25</v>
      </c>
      <c r="C18" s="8" t="s">
        <v>44</v>
      </c>
      <c r="D18" s="8">
        <v>5</v>
      </c>
      <c r="E18" s="4">
        <f>Февраль!E18:E37 * 1.05</f>
        <v>981.75000000000011</v>
      </c>
      <c r="F18" s="8">
        <f t="shared" ref="F18:F21" si="7">E18*0.5</f>
        <v>490.87500000000006</v>
      </c>
      <c r="G18" s="4">
        <f t="shared" si="5"/>
        <v>0</v>
      </c>
      <c r="H18" s="4">
        <f t="shared" si="3"/>
        <v>1472.6250000000002</v>
      </c>
      <c r="I18" s="4">
        <f t="shared" si="4"/>
        <v>294.52500000000003</v>
      </c>
      <c r="J18" s="4">
        <f t="shared" si="0"/>
        <v>1178.1000000000001</v>
      </c>
      <c r="K18" s="16">
        <f t="shared" si="1"/>
        <v>6.6729470874548599E-2</v>
      </c>
    </row>
    <row r="19" spans="1:11" ht="16.5" thickBot="1">
      <c r="A19" s="3">
        <v>18</v>
      </c>
      <c r="B19" s="8" t="s">
        <v>26</v>
      </c>
      <c r="C19" s="8" t="s">
        <v>45</v>
      </c>
      <c r="D19" s="8">
        <v>27</v>
      </c>
      <c r="E19" s="4">
        <f>Февраль!E19:E38 * 1.05</f>
        <v>1016.4000000000002</v>
      </c>
      <c r="F19" s="8">
        <f t="shared" si="7"/>
        <v>508.2000000000001</v>
      </c>
      <c r="G19" s="4">
        <f t="shared" si="5"/>
        <v>203.28000000000006</v>
      </c>
      <c r="H19" s="4">
        <f t="shared" si="3"/>
        <v>1727.8800000000003</v>
      </c>
      <c r="I19" s="4">
        <f t="shared" si="4"/>
        <v>345.57600000000008</v>
      </c>
      <c r="J19" s="4">
        <f t="shared" si="0"/>
        <v>1382.3040000000003</v>
      </c>
      <c r="K19" s="16">
        <f t="shared" si="1"/>
        <v>7.8295912492803696E-2</v>
      </c>
    </row>
    <row r="20" spans="1:11" ht="16.5" thickBot="1">
      <c r="A20" s="3">
        <v>19</v>
      </c>
      <c r="B20" s="8" t="s">
        <v>27</v>
      </c>
      <c r="C20" s="8" t="s">
        <v>46</v>
      </c>
      <c r="D20" s="8">
        <v>45</v>
      </c>
      <c r="E20" s="4">
        <f>Февраль!E20:E39 * 1.05</f>
        <v>1051.0500000000002</v>
      </c>
      <c r="F20" s="8">
        <f t="shared" si="7"/>
        <v>525.52500000000009</v>
      </c>
      <c r="G20" s="4">
        <f t="shared" si="5"/>
        <v>210.21000000000004</v>
      </c>
      <c r="H20" s="4">
        <f t="shared" si="3"/>
        <v>1786.7850000000003</v>
      </c>
      <c r="I20" s="4">
        <f t="shared" si="4"/>
        <v>357.35700000000008</v>
      </c>
      <c r="J20" s="4">
        <f t="shared" si="0"/>
        <v>1429.4280000000003</v>
      </c>
      <c r="K20" s="16">
        <f t="shared" si="1"/>
        <v>8.0965091327785635E-2</v>
      </c>
    </row>
    <row r="21" spans="1:11" ht="16.5" thickBot="1">
      <c r="A21" s="3">
        <v>20</v>
      </c>
      <c r="B21" s="8" t="s">
        <v>28</v>
      </c>
      <c r="C21" s="8" t="s">
        <v>47</v>
      </c>
      <c r="D21" s="8">
        <v>4</v>
      </c>
      <c r="E21" s="4">
        <f>Февраль!E21:E40 * 1.05</f>
        <v>1085.7</v>
      </c>
      <c r="F21" s="8">
        <f t="shared" si="7"/>
        <v>542.85</v>
      </c>
      <c r="G21" s="4">
        <f t="shared" si="5"/>
        <v>0</v>
      </c>
      <c r="H21" s="4">
        <f t="shared" si="3"/>
        <v>1628.5500000000002</v>
      </c>
      <c r="I21" s="4">
        <f t="shared" si="4"/>
        <v>325.71000000000004</v>
      </c>
      <c r="J21" s="4">
        <f t="shared" si="0"/>
        <v>1302.8400000000001</v>
      </c>
      <c r="K21" s="16">
        <f t="shared" si="1"/>
        <v>7.379494426126551E-2</v>
      </c>
    </row>
    <row r="22" spans="1:11" ht="16.5" thickBot="1">
      <c r="A22" s="18" t="s">
        <v>49</v>
      </c>
      <c r="B22" s="19"/>
      <c r="C22" s="19"/>
      <c r="D22" s="20"/>
      <c r="E22" s="5">
        <f>SUM(E2:E21)</f>
        <v>13478.850000000002</v>
      </c>
      <c r="F22" s="5">
        <f>SUM(F2:F21)</f>
        <v>6739.4250000000011</v>
      </c>
      <c r="G22" s="5">
        <f>SUM(G4:G21)</f>
        <v>1746.3600000000004</v>
      </c>
      <c r="H22" s="5">
        <f>SUM(H2:H21)</f>
        <v>22068.585000000006</v>
      </c>
      <c r="I22" s="8">
        <f>SUM(I2:I21)</f>
        <v>4413.7170000000006</v>
      </c>
      <c r="J22" s="8">
        <f>SUM(J2:J21)</f>
        <v>17654.868000000002</v>
      </c>
      <c r="K22" s="8">
        <f>SUM(K2:K21)</f>
        <v>1</v>
      </c>
    </row>
    <row r="23" spans="1:11" ht="16.5" thickBot="1">
      <c r="A23" s="21" t="s">
        <v>7</v>
      </c>
      <c r="B23" s="22"/>
      <c r="C23" s="22"/>
      <c r="D23" s="23"/>
      <c r="E23" s="4">
        <f>SUM(E2:E21)/20</f>
        <v>673.94250000000011</v>
      </c>
      <c r="F23" s="4">
        <f>SUM(F2:F21)/20</f>
        <v>336.97125000000005</v>
      </c>
      <c r="G23" s="4">
        <f>G22/20</f>
        <v>87.318000000000012</v>
      </c>
      <c r="H23" s="4">
        <f>H22/20</f>
        <v>1103.4292500000004</v>
      </c>
      <c r="I23" s="8">
        <f>I22/20</f>
        <v>220.68585000000002</v>
      </c>
      <c r="J23" s="8">
        <f>J22/20</f>
        <v>882.74340000000007</v>
      </c>
      <c r="K23" s="8">
        <f>K22/20</f>
        <v>0.05</v>
      </c>
    </row>
  </sheetData>
  <mergeCells count="2">
    <mergeCell ref="A22:D22"/>
    <mergeCell ref="A23:D23"/>
  </mergeCells>
  <pageMargins left="0.7" right="0.7" top="0.75" bottom="0.75" header="0.3" footer="0.3"/>
  <ignoredErrors>
    <ignoredError sqref="G22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selection activeCell="K3" sqref="K3"/>
    </sheetView>
  </sheetViews>
  <sheetFormatPr defaultRowHeight="15"/>
  <sheetData>
    <row r="1" spans="1:4">
      <c r="A1" s="10" t="s">
        <v>50</v>
      </c>
      <c r="B1" s="11" t="s">
        <v>51</v>
      </c>
      <c r="C1" s="11" t="s">
        <v>52</v>
      </c>
      <c r="D1" s="11" t="s">
        <v>53</v>
      </c>
    </row>
    <row r="2" spans="1:4" ht="37.5" customHeight="1">
      <c r="A2" s="12" t="s">
        <v>54</v>
      </c>
      <c r="B2" s="11">
        <f>Январь!J18</f>
        <v>1020</v>
      </c>
      <c r="C2" s="11">
        <f>Февраль!J18</f>
        <v>1122.0000000000002</v>
      </c>
      <c r="D2" s="11">
        <f>Март!J18</f>
        <v>1178.1000000000001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1</vt:i4>
      </vt:variant>
    </vt:vector>
  </HeadingPairs>
  <TitlesOfParts>
    <vt:vector size="5" baseType="lpstr">
      <vt:lpstr>Январь</vt:lpstr>
      <vt:lpstr>Февраль</vt:lpstr>
      <vt:lpstr>Март</vt:lpstr>
      <vt:lpstr>Зп фин. директора</vt:lpstr>
      <vt:lpstr>A1zxx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2020-10-05T20:59:52Z</dcterms:modified>
</cp:coreProperties>
</file>